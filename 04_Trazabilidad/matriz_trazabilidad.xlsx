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E4_Paquete_Actualizado\04_Trazabilidad\"/>
    </mc:Choice>
  </mc:AlternateContent>
  <xr:revisionPtr revIDLastSave="0" documentId="8_{29FB45A7-C575-40C8-BC3A-83735E8DD4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" sheetId="1" r:id="rId1"/>
    <sheet name="Catalogo_pruebas" sheetId="2" r:id="rId2"/>
    <sheet name="Control" sheetId="3" r:id="rId3"/>
  </sheets>
  <calcPr calcId="18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5" i="3"/>
  <c r="B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tc={ABB72E7F-477B-61CA-AA3F-6801760E2704}</author>
  </authors>
  <commentList>
    <comment ref="H7" authorId="0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referencia anterior apuntaba a un mockup no verificado. No debe sustituirse por otro identificador sin acuerdo del CCB y evidencia del artefacto real.</t>
        </r>
      </text>
    </comment>
  </commentList>
</comments>
</file>

<file path=xl/sharedStrings.xml><?xml version="1.0" encoding="utf-8"?>
<sst xmlns="http://schemas.openxmlformats.org/spreadsheetml/2006/main" count="1171" uniqueCount="619">
  <si>
    <t>MATRIZ DE TRAZABILIDAD BIDIRECCIONAL — SICM / MEDICITA</t>
  </si>
  <si>
    <t>Base: ERS_v1.1 del SICM. Matriz bidireccional vinculada al backlog Jira SGICM (89 elementos exportados).</t>
  </si>
  <si>
    <t>Los casos de prueba se encuentran definidos en “Catalogo_pruebas”. “No aplica” y “No requiere interfaz” siempre incluyen una razón. Los elementos pendientes no se presentan como existentes.</t>
  </si>
  <si>
    <t>Fila</t>
  </si>
  <si>
    <t>Requisito</t>
  </si>
  <si>
    <t>Fuente</t>
  </si>
  <si>
    <t>Caso de uso</t>
  </si>
  <si>
    <t>Historia</t>
  </si>
  <si>
    <t>Criterio</t>
  </si>
  <si>
    <t>Diseño</t>
  </si>
  <si>
    <t>Mockup</t>
  </si>
  <si>
    <t>Prueba</t>
  </si>
  <si>
    <t>Estado</t>
  </si>
  <si>
    <t>Objetivo</t>
  </si>
  <si>
    <t>Issue Jira</t>
  </si>
  <si>
    <t>RF-01</t>
  </si>
  <si>
    <t>EV-01</t>
  </si>
  <si>
    <t>CU-02</t>
  </si>
  <si>
    <t>US-06</t>
  </si>
  <si>
    <t>CA-01 a CA-03</t>
  </si>
  <si>
    <t>COMP-MedicoGeneral</t>
  </si>
  <si>
    <t>MU-03</t>
  </si>
  <si>
    <t>CP-RF-01</t>
  </si>
  <si>
    <t>Revisar: RFC-02 por fusión inconsistente</t>
  </si>
  <si>
    <t>Digitalizar y consultar historia clínica</t>
  </si>
  <si>
    <t>https://medicita1.atlassian.net/browse/SGICM-10</t>
  </si>
  <si>
    <t>RF-02</t>
  </si>
  <si>
    <t>EV-01 / EV-02</t>
  </si>
  <si>
    <t>CU-01</t>
  </si>
  <si>
    <t>US-01</t>
  </si>
  <si>
    <t>CA-01 a CA-04</t>
  </si>
  <si>
    <t>COMP-Paciente</t>
  </si>
  <si>
    <t>No disponible: resolver RFC-01; el mockup referido no fue verificado</t>
  </si>
  <si>
    <t>CP-RF-02</t>
  </si>
  <si>
    <t>Revisar: RFC-01 por mockup no verificado</t>
  </si>
  <si>
    <t>Agendar citas</t>
  </si>
  <si>
    <t>https://medicita1.atlassian.net/browse/SGICM-11</t>
  </si>
  <si>
    <t>RF-03</t>
  </si>
  <si>
    <t>US-02</t>
  </si>
  <si>
    <t>MU-04</t>
  </si>
  <si>
    <t>CP-RF-03</t>
  </si>
  <si>
    <t>Trazado; prueba diseñada, no ejecutada</t>
  </si>
  <si>
    <t>Buscar pacientes</t>
  </si>
  <si>
    <t>https://medicita1.atlassian.net/browse/SGICM-12</t>
  </si>
  <si>
    <t>RF-04</t>
  </si>
  <si>
    <t>CU-03</t>
  </si>
  <si>
    <t>US-03</t>
  </si>
  <si>
    <t>MU-05</t>
  </si>
  <si>
    <t>CP-RF-04</t>
  </si>
  <si>
    <t>Emitir recetas</t>
  </si>
  <si>
    <t>https://medicita1.atlassian.net/browse/SGICM-13</t>
  </si>
  <si>
    <t>RF-05</t>
  </si>
  <si>
    <t>US-05</t>
  </si>
  <si>
    <t>CP-RF-05</t>
  </si>
  <si>
    <t>Actualizar historial clínico</t>
  </si>
  <si>
    <t>https://medicita1.atlassian.net/browse/SGICM-14</t>
  </si>
  <si>
    <t>RF-06</t>
  </si>
  <si>
    <t>CU-04</t>
  </si>
  <si>
    <t>US-04</t>
  </si>
  <si>
    <t>MU-29</t>
  </si>
  <si>
    <t>CP-RF-06</t>
  </si>
  <si>
    <t>Cancelar citas</t>
  </si>
  <si>
    <t>https://medicita1.atlassian.net/browse/SGICM-15</t>
  </si>
  <si>
    <t>RF-07</t>
  </si>
  <si>
    <t>EV-04</t>
  </si>
  <si>
    <t>CU-05</t>
  </si>
  <si>
    <t>US-19</t>
  </si>
  <si>
    <t>MU-06 / MU-15</t>
  </si>
  <si>
    <t>CP-RF-07</t>
  </si>
  <si>
    <t>Compartir información entre áreas</t>
  </si>
  <si>
    <t>https://medicita1.atlassian.net/browse/SGICM-16</t>
  </si>
  <si>
    <t>RF-08</t>
  </si>
  <si>
    <t>MU-07</t>
  </si>
  <si>
    <t>CP-RF-08</t>
  </si>
  <si>
    <t>Generar reportes de atención</t>
  </si>
  <si>
    <t>https://medicita1.atlassian.net/browse/SGICM-17</t>
  </si>
  <si>
    <t>RF-09</t>
  </si>
  <si>
    <t>CU-12 / EV-01</t>
  </si>
  <si>
    <t>CU-12 / CU-32 / CU-33</t>
  </si>
  <si>
    <t>US-07 / US-31 / US-32</t>
  </si>
  <si>
    <t>COMP-Login</t>
  </si>
  <si>
    <t>MU-01</t>
  </si>
  <si>
    <t>CP-RF-09</t>
  </si>
  <si>
    <t>Autenticar, recuperar contraseña y cerrar sesión</t>
  </si>
  <si>
    <t>https://medicita1.atlassian.net/browse/SGICM-18</t>
  </si>
  <si>
    <t>RF-10</t>
  </si>
  <si>
    <t>EV-04 / CU-13</t>
  </si>
  <si>
    <t>CU-13 / CU-31</t>
  </si>
  <si>
    <t>US-08 / US-30</t>
  </si>
  <si>
    <t>CP-RF-10</t>
  </si>
  <si>
    <t>Gestionar permisos y cuentas</t>
  </si>
  <si>
    <t>https://medicita1.atlassian.net/browse/SGICM-19</t>
  </si>
  <si>
    <t>RF-11</t>
  </si>
  <si>
    <t>EV-02</t>
  </si>
  <si>
    <t>CU-14</t>
  </si>
  <si>
    <t>CP-RF-11</t>
  </si>
  <si>
    <t>Notificar automáticamente</t>
  </si>
  <si>
    <t>https://medicita1.atlassian.net/browse/SGICM-20</t>
  </si>
  <si>
    <t>RF-12</t>
  </si>
  <si>
    <t>CU-15</t>
  </si>
  <si>
    <t>US-09</t>
  </si>
  <si>
    <t>Servicio de auditoría</t>
  </si>
  <si>
    <t>No requiere interfaz: servicio interno consultado desde auditoría</t>
  </si>
  <si>
    <t>CP-RF-12</t>
  </si>
  <si>
    <t>Auditar acciones</t>
  </si>
  <si>
    <t>https://medicita1.atlassian.net/browse/SGICM-21</t>
  </si>
  <si>
    <t>RF-13</t>
  </si>
  <si>
    <t>EV-01 / CU-01</t>
  </si>
  <si>
    <t>COMP-Odontologia</t>
  </si>
  <si>
    <t>MU-09</t>
  </si>
  <si>
    <t>CP-RF-13</t>
  </si>
  <si>
    <t>Consultar disponibilidad horaria</t>
  </si>
  <si>
    <t>https://medicita1.atlassian.net/browse/SGICM-22</t>
  </si>
  <si>
    <t>RF-14</t>
  </si>
  <si>
    <t>CU-22</t>
  </si>
  <si>
    <t>CP-RF-14</t>
  </si>
  <si>
    <t>Digitalizar documentación clínica</t>
  </si>
  <si>
    <t>https://medicita1.atlassian.net/browse/SGICM-23</t>
  </si>
  <si>
    <t>RF-15</t>
  </si>
  <si>
    <t>CU Gestionar Inventario / EV-Enf-01</t>
  </si>
  <si>
    <t>CU-29</t>
  </si>
  <si>
    <t>US-33</t>
  </si>
  <si>
    <t>CA-01 a CA-02</t>
  </si>
  <si>
    <t>COMP-Enfermeria</t>
  </si>
  <si>
    <t>MU-19</t>
  </si>
  <si>
    <t>CP-RF-15</t>
  </si>
  <si>
    <t>Gestionar inventario</t>
  </si>
  <si>
    <t>https://medicita1.atlassian.net/browse/SGICM-24</t>
  </si>
  <si>
    <t>RF-16</t>
  </si>
  <si>
    <t>Flujo documentado en RF-16</t>
  </si>
  <si>
    <t>Específico de RF-16</t>
  </si>
  <si>
    <t>Criterios de RF-16</t>
  </si>
  <si>
    <t>CP-RF-16</t>
  </si>
  <si>
    <t>Asistente virtual con IA</t>
  </si>
  <si>
    <t>https://medicita1.atlassian.net/browse/SGICM-25</t>
  </si>
  <si>
    <t>RF-17</t>
  </si>
  <si>
    <t>CU-16</t>
  </si>
  <si>
    <t>US-10</t>
  </si>
  <si>
    <t>CP-RF-17</t>
  </si>
  <si>
    <t>Gestionar perfil del personal médico</t>
  </si>
  <si>
    <t>https://medicita1.atlassian.net/browse/SGICM-26</t>
  </si>
  <si>
    <t>RF-18</t>
  </si>
  <si>
    <t>CU-17</t>
  </si>
  <si>
    <t>US-11</t>
  </si>
  <si>
    <t>CP-RF-18</t>
  </si>
  <si>
    <t>Asignar turnos del personal médico</t>
  </si>
  <si>
    <t>https://medicita1.atlassian.net/browse/SGICM-27</t>
  </si>
  <si>
    <t>RF-19</t>
  </si>
  <si>
    <t>US-12</t>
  </si>
  <si>
    <t>CP-RF-19</t>
  </si>
  <si>
    <t>Consultar disponibilidad del personal</t>
  </si>
  <si>
    <t>https://medicita1.atlassian.net/browse/SGICM-28</t>
  </si>
  <si>
    <t>RF-20</t>
  </si>
  <si>
    <t>CP-RF-20</t>
  </si>
  <si>
    <t>Reasignar turnos ante ausencias</t>
  </si>
  <si>
    <t>https://medicita1.atlassian.net/browse/SGICM-29</t>
  </si>
  <si>
    <t>RF-21</t>
  </si>
  <si>
    <t>Requisito normativo SRI</t>
  </si>
  <si>
    <t>CU-18</t>
  </si>
  <si>
    <t>US-13</t>
  </si>
  <si>
    <t>Módulo de Recepción (CU-07/CU-08)</t>
  </si>
  <si>
    <t>MU-17</t>
  </si>
  <si>
    <t>CP-RF-21</t>
  </si>
  <si>
    <t>Emitir comprobantes electrónicos</t>
  </si>
  <si>
    <t>https://medicita1.atlassian.net/browse/SGICM-30</t>
  </si>
  <si>
    <t>RF-22</t>
  </si>
  <si>
    <t>EV-Enf-01</t>
  </si>
  <si>
    <t>CU-19</t>
  </si>
  <si>
    <t>US-14</t>
  </si>
  <si>
    <t>CP-RF-22</t>
  </si>
  <si>
    <t>Registrar pagos</t>
  </si>
  <si>
    <t>https://medicita1.atlassian.net/browse/SGICM-31</t>
  </si>
  <si>
    <t>RF-23</t>
  </si>
  <si>
    <t>CP-RF-23</t>
  </si>
  <si>
    <t>Generar reportes financieros</t>
  </si>
  <si>
    <t>https://medicita1.atlassian.net/browse/SGICM-32</t>
  </si>
  <si>
    <t>RF-24</t>
  </si>
  <si>
    <t>CU-11</t>
  </si>
  <si>
    <t>US-15</t>
  </si>
  <si>
    <t>CP-RF-24</t>
  </si>
  <si>
    <t>Configurar horarios por área</t>
  </si>
  <si>
    <t>https://medicita1.atlassian.net/browse/SGICM-33</t>
  </si>
  <si>
    <t>RF-25</t>
  </si>
  <si>
    <t>CP-RF-25</t>
  </si>
  <si>
    <t>Definir cupo máximo por turno</t>
  </si>
  <si>
    <t>https://medicita1.atlassian.net/browse/SGICM-34</t>
  </si>
  <si>
    <t>RF-26</t>
  </si>
  <si>
    <t>CU-06</t>
  </si>
  <si>
    <t>US-16</t>
  </si>
  <si>
    <t>MU-18</t>
  </si>
  <si>
    <t>CP-RF-26</t>
  </si>
  <si>
    <t>Registrar signos vitales</t>
  </si>
  <si>
    <t>https://medicita1.atlassian.net/browse/SGICM-35</t>
  </si>
  <si>
    <t>RF-27</t>
  </si>
  <si>
    <t>CU-07</t>
  </si>
  <si>
    <t>US-17</t>
  </si>
  <si>
    <t>CP-RF-27</t>
  </si>
  <si>
    <t>Buscar paciente por cédula</t>
  </si>
  <si>
    <t>https://medicita1.atlassian.net/browse/SGICM-36</t>
  </si>
  <si>
    <t>RF-28</t>
  </si>
  <si>
    <t>US-18</t>
  </si>
  <si>
    <t>CP-RF-28</t>
  </si>
  <si>
    <t>Registrar datos personales</t>
  </si>
  <si>
    <t>https://medicita1.atlassian.net/browse/SGICM-37</t>
  </si>
  <si>
    <t>RF-29</t>
  </si>
  <si>
    <t>CU-20</t>
  </si>
  <si>
    <t>CP-RF-29</t>
  </si>
  <si>
    <t>Registrar menores sin cédula</t>
  </si>
  <si>
    <t>https://medicita1.atlassian.net/browse/SGICM-38</t>
  </si>
  <si>
    <t>RF-30</t>
  </si>
  <si>
    <t>CU-10</t>
  </si>
  <si>
    <t>COMP-Psicologia</t>
  </si>
  <si>
    <t>MU-14</t>
  </si>
  <si>
    <t>CP-RF-30</t>
  </si>
  <si>
    <t>Restringir acceso clínico por rol</t>
  </si>
  <si>
    <t>https://medicita1.atlassian.net/browse/SGICM-39</t>
  </si>
  <si>
    <t>RF-31</t>
  </si>
  <si>
    <t>CP-RF-31</t>
  </si>
  <si>
    <t>Alertar stock bajo y caducidad</t>
  </si>
  <si>
    <t>https://medicita1.atlassian.net/browse/SGICM-40</t>
  </si>
  <si>
    <t>RF-32</t>
  </si>
  <si>
    <t>CU-30</t>
  </si>
  <si>
    <t>US-34</t>
  </si>
  <si>
    <t>CP-RF-32</t>
  </si>
  <si>
    <t>Registrar entrega trazable de medicamentos</t>
  </si>
  <si>
    <t>https://medicita1.atlassian.net/browse/SGICM-41</t>
  </si>
  <si>
    <t>RF-33</t>
  </si>
  <si>
    <t>CU-08</t>
  </si>
  <si>
    <t>US-20</t>
  </si>
  <si>
    <t>CP-RF-33</t>
  </si>
  <si>
    <t>Registrar cobro por área</t>
  </si>
  <si>
    <t>https://medicita1.atlassian.net/browse/SGICM-42</t>
  </si>
  <si>
    <t>RF-34</t>
  </si>
  <si>
    <t>US-21</t>
  </si>
  <si>
    <t>CP-RF-34</t>
  </si>
  <si>
    <t>Asignar turno automáticamente</t>
  </si>
  <si>
    <t>https://medicita1.atlassian.net/browse/SGICM-43</t>
  </si>
  <si>
    <t>RF-35</t>
  </si>
  <si>
    <t>CU-09</t>
  </si>
  <si>
    <t>MU-20</t>
  </si>
  <si>
    <t>CP-RF-35</t>
  </si>
  <si>
    <t>Derivar paciente entre áreas</t>
  </si>
  <si>
    <t>https://medicita1.atlassian.net/browse/SGICM-44</t>
  </si>
  <si>
    <t>RF-36</t>
  </si>
  <si>
    <t>COMP-TerapiaFisica</t>
  </si>
  <si>
    <t>MU-26</t>
  </si>
  <si>
    <t>CP-RF-36</t>
  </si>
  <si>
    <t>Agendar citas por área</t>
  </si>
  <si>
    <t>https://medicita1.atlassian.net/browse/SGICM-45</t>
  </si>
  <si>
    <t>RF-37</t>
  </si>
  <si>
    <t>CU-21</t>
  </si>
  <si>
    <t>US-23</t>
  </si>
  <si>
    <t>MU-28</t>
  </si>
  <si>
    <t>CP-RF-37</t>
  </si>
  <si>
    <t>Reprogramar o cancelar citas por área</t>
  </si>
  <si>
    <t>https://medicita1.atlassian.net/browse/SGICM-46</t>
  </si>
  <si>
    <t>RF-38</t>
  </si>
  <si>
    <t>US-22</t>
  </si>
  <si>
    <t>CP-RF-38</t>
  </si>
  <si>
    <t>Consultar rápidamente paciente registrado</t>
  </si>
  <si>
    <t>https://medicita1.atlassian.net/browse/SGICM-47</t>
  </si>
  <si>
    <t>RF-39</t>
  </si>
  <si>
    <t>CU-23 / CU-24 / CU-25 / CU-26</t>
  </si>
  <si>
    <t>US-24 a US-27</t>
  </si>
  <si>
    <t>MU-03 / MU-05</t>
  </si>
  <si>
    <t>CP-RF-39</t>
  </si>
  <si>
    <t>Registrar atención clínica integral</t>
  </si>
  <si>
    <t>https://medicita1.atlassian.net/browse/SGICM-48</t>
  </si>
  <si>
    <t>RF-40</t>
  </si>
  <si>
    <t>EV-01 / EV-Enf-01</t>
  </si>
  <si>
    <t>CU-27 / CU-28</t>
  </si>
  <si>
    <t>US-28 / US-29</t>
  </si>
  <si>
    <t>Módulo Nutrición / COMP-TerapiaFisica</t>
  </si>
  <si>
    <t>MU-15 / MU-26</t>
  </si>
  <si>
    <t>CP-RF-40</t>
  </si>
  <si>
    <t>Registrar plan nutricional o sesión de terapia</t>
  </si>
  <si>
    <t>https://medicita1.atlassian.net/browse/SGICM-49</t>
  </si>
  <si>
    <t>RNF-01</t>
  </si>
  <si>
    <t>ERS v3.1, §3.4; ISO/IEC 25010</t>
  </si>
  <si>
    <t>Historial ≤ 2 s en 95 % con hasta 50 usuarios</t>
  </si>
  <si>
    <t>CP-RNF-01</t>
  </si>
  <si>
    <t>Eficiencia de consultas de historial</t>
  </si>
  <si>
    <t>https://medicita1.atlassian.net/browse/SGICM-50</t>
  </si>
  <si>
    <t>RNF-02</t>
  </si>
  <si>
    <t>ERS v3.1, §3.4; LOPDP</t>
  </si>
  <si>
    <t>CU-12 / CU-13</t>
  </si>
  <si>
    <t>US-07 / US-08</t>
  </si>
  <si>
    <t>TLS 1.2+, AES-256 y pruebas de penetración</t>
  </si>
  <si>
    <t>Servicio de seguridad</t>
  </si>
  <si>
    <t>No requiere interfaz: cifrado y control de acceso</t>
  </si>
  <si>
    <t>CP-RNF-02</t>
  </si>
  <si>
    <t>Confidencialidad de datos</t>
  </si>
  <si>
    <t>https://medicita1.atlassian.net/browse/SGICM-51</t>
  </si>
  <si>
    <t>RNF-03</t>
  </si>
  <si>
    <t>CU-01 / CU-02</t>
  </si>
  <si>
    <t>US-01 / US-02</t>
  </si>
  <si>
    <t>Finalización ≥ 90 % y SUS ≥ 75</t>
  </si>
  <si>
    <t>Diseño UI transversal</t>
  </si>
  <si>
    <t>MU-01 / MU-03</t>
  </si>
  <si>
    <t>CP-RNF-03</t>
  </si>
  <si>
    <t>Usabilidad general</t>
  </si>
  <si>
    <t>https://medicita1.atlassian.net/browse/SGICM-52</t>
  </si>
  <si>
    <t>RNF-04</t>
  </si>
  <si>
    <t>No aplica: disponibilidad operacional</t>
  </si>
  <si>
    <t>No aplica: requisito transversal</t>
  </si>
  <si>
    <t>Disponibilidad ≥ 99 % y MTTR ≤ 30 min</t>
  </si>
  <si>
    <t>Infraestructura y monitoreo</t>
  </si>
  <si>
    <t>No requiere interfaz: operación de infraestructura</t>
  </si>
  <si>
    <t>CP-RNF-04</t>
  </si>
  <si>
    <t>Disponibilidad en horario de atención</t>
  </si>
  <si>
    <t>https://medicita1.atlassian.net/browse/SGICM-53</t>
  </si>
  <si>
    <t>RNF-05</t>
  </si>
  <si>
    <t>No aplica: arquitectura interna</t>
  </si>
  <si>
    <t>Cobertura automatizada ≥ 70 % y arquitectura por capas</t>
  </si>
  <si>
    <t>Arquitectura por capas</t>
  </si>
  <si>
    <t>No requiere interfaz: mantenibilidad interna</t>
  </si>
  <si>
    <t>CP-RNF-05</t>
  </si>
  <si>
    <t>Mantenibilidad y extensibilidad</t>
  </si>
  <si>
    <t>https://medicita1.atlassian.net/browse/SGICM-54</t>
  </si>
  <si>
    <t>RNF-06</t>
  </si>
  <si>
    <t>CU-10 / CU-12 / CU-13</t>
  </si>
  <si>
    <t>US-07 / US-19</t>
  </si>
  <si>
    <t>100 % de accesos no autorizados rechazados y auditados</t>
  </si>
  <si>
    <t>Servicio de seguridad / auditoría</t>
  </si>
  <si>
    <t>No requiere interfaz: política de autorización</t>
  </si>
  <si>
    <t>CP-RNF-06</t>
  </si>
  <si>
    <t>Control de acceso clínico</t>
  </si>
  <si>
    <t>https://medicita1.atlassian.net/browse/SGICM-55</t>
  </si>
  <si>
    <t>RNF-07</t>
  </si>
  <si>
    <t>No aplica: prueba transversal de interfaz</t>
  </si>
  <si>
    <t>Chrome, Edge y Safari; 360 px a 1920 px</t>
  </si>
  <si>
    <t>Diseño web responsivo</t>
  </si>
  <si>
    <t>No aplica: se verifica sobre todas las interfaces</t>
  </si>
  <si>
    <t>CP-RNF-07</t>
  </si>
  <si>
    <t>Compatibilidad y portabilidad web</t>
  </si>
  <si>
    <t>https://medicita1.atlassian.net/browse/SGICM-56</t>
  </si>
  <si>
    <t>RNF-08</t>
  </si>
  <si>
    <t>EV-Enf-01; ERS v3.1, §3.4.1</t>
  </si>
  <si>
    <t>Recuperar expediente ≤ 3 s en 95 %</t>
  </si>
  <si>
    <t>Módulo de Recepción</t>
  </si>
  <si>
    <t>CP-RNF-08</t>
  </si>
  <si>
    <t>Rendimiento de búsqueda por cédula</t>
  </si>
  <si>
    <t>https://medicita1.atlassian.net/browse/SGICM-57</t>
  </si>
  <si>
    <t>RNF-09</t>
  </si>
  <si>
    <t>Disponibilidad mensual ≥ 99 %</t>
  </si>
  <si>
    <t>CP-RNF-09</t>
  </si>
  <si>
    <t>Disponibilidad mensual</t>
  </si>
  <si>
    <t>https://medicita1.atlassian.net/browse/SGICM-58</t>
  </si>
  <si>
    <t>RNF-10</t>
  </si>
  <si>
    <t>EV-Enf-01; LOPDP</t>
  </si>
  <si>
    <t>100 % de accesos indebidos bloqueados y registrados</t>
  </si>
  <si>
    <t>COMP-Login / Servicio de seguridad</t>
  </si>
  <si>
    <t>CP-RNF-10</t>
  </si>
  <si>
    <t>Autenticación individual y RBAC</t>
  </si>
  <si>
    <t>https://medicita1.atlassian.net/browse/SGICM-59</t>
  </si>
  <si>
    <t>RNF-11</t>
  </si>
  <si>
    <t>CU-06 / CU-09</t>
  </si>
  <si>
    <t>US-16 / US-19</t>
  </si>
  <si>
    <t>Propagación entre módulos ≤ 10 s</t>
  </si>
  <si>
    <t>Servicio de integración</t>
  </si>
  <si>
    <t>No requiere interfaz: comunicación entre módulos</t>
  </si>
  <si>
    <t>CP-RNF-11</t>
  </si>
  <si>
    <t>Compatibilidad e integración</t>
  </si>
  <si>
    <t>https://medicita1.atlassian.net/browse/SGICM-60</t>
  </si>
  <si>
    <t>RNF-12</t>
  </si>
  <si>
    <t>Registro ≤ 5 min; error ≤ 5 % después de capacitación</t>
  </si>
  <si>
    <t>CP-RNF-12</t>
  </si>
  <si>
    <t>Usabilidad del registro de pacientes</t>
  </si>
  <si>
    <t>https://medicita1.atlassian.net/browse/SGICM-61</t>
  </si>
  <si>
    <t>RNF-13</t>
  </si>
  <si>
    <t>CU-07 / CU-20</t>
  </si>
  <si>
    <t>100 % de registros cumplen validaciones obligatorias</t>
  </si>
  <si>
    <t>CP-RNF-13</t>
  </si>
  <si>
    <t>Integridad de datos personales</t>
  </si>
  <si>
    <t>https://medicita1.atlassian.net/browse/SGICM-62</t>
  </si>
  <si>
    <t>RNF-14</t>
  </si>
  <si>
    <t>ERS v3.1, §3.4.1; inventario técnico requerido</t>
  </si>
  <si>
    <t>No aplica: compatibilidad de plataforma</t>
  </si>
  <si>
    <t>100 % de equipos actuales; criterio pendiente de precisar</t>
  </si>
  <si>
    <t>Infraestructura cliente</t>
  </si>
  <si>
    <t>No aplica: se verifica en equipos, no en un mockup</t>
  </si>
  <si>
    <t>CP-RNF-14</t>
  </si>
  <si>
    <t>Portabilidad a equipos actuales</t>
  </si>
  <si>
    <t>https://medicita1.atlassian.net/browse/SGICM-63</t>
  </si>
  <si>
    <t>RNF-15</t>
  </si>
  <si>
    <t>Informe automático de inventario ≤ 2 min</t>
  </si>
  <si>
    <t>CP-RNF-15</t>
  </si>
  <si>
    <t>Generación de informe de inventario</t>
  </si>
  <si>
    <t>https://medicita1.atlassian.net/browse/SGICM-64</t>
  </si>
  <si>
    <t>RNF-16</t>
  </si>
  <si>
    <t>0 asociaciones erróneas; auditoría pendiente de precisar</t>
  </si>
  <si>
    <t>CP-RNF-16</t>
  </si>
  <si>
    <t>Protección de datos de menores</t>
  </si>
  <si>
    <t>https://medicita1.atlassian.net/browse/SGICM-65</t>
  </si>
  <si>
    <t>RNF-17</t>
  </si>
  <si>
    <t>No disponible: RNF-17 no está especificado en el ERS v3.1</t>
  </si>
  <si>
    <t>No aplica: requisito ausente</t>
  </si>
  <si>
    <t>No aplica: definir RNF-17 o corregir la numeración</t>
  </si>
  <si>
    <t>CP-RNF-17</t>
  </si>
  <si>
    <t>Bloqueado: requisito no especificado en ERS v3.1</t>
  </si>
  <si>
    <t>Requisito ausente en el catálogo</t>
  </si>
  <si>
    <t>https://medicita1.atlassian.net/browse/SGICM-66</t>
  </si>
  <si>
    <t>RNF-18</t>
  </si>
  <si>
    <t>ERS v3.1, §3.4.2; marco de explicabilidad</t>
  </si>
  <si>
    <t>≥ 80 % califica explicación ≥ 4/5; &lt; 2 s y ≤ 40 palabras</t>
  </si>
  <si>
    <t>CP-RNF-18</t>
  </si>
  <si>
    <t>Explicabilidad del asistente virtual</t>
  </si>
  <si>
    <t>https://medicita1.atlassian.net/browse/SGICM-67</t>
  </si>
  <si>
    <t>CATÁLOGO DE CASOS DE PRUEBA — TRAZABILIDAD INVERSA</t>
  </si>
  <si>
    <t>Cada prueba referencia una fila y un requisito de la matriz. “Diseñado, no ejecutado” no implica que la prueba haya sido aprobada o superada.</t>
  </si>
  <si>
    <t>Fila matriz</t>
  </si>
  <si>
    <t>Objetivo de prueba</t>
  </si>
  <si>
    <t>Precondición</t>
  </si>
  <si>
    <t>Procedimiento</t>
  </si>
  <si>
    <t>Resultado esperado</t>
  </si>
  <si>
    <t>Estado de ejecución</t>
  </si>
  <si>
    <t>Evidencia</t>
  </si>
  <si>
    <t>Verificar Digitalizar y consultar historia clínica.</t>
  </si>
  <si>
    <t>Datos de prueba y rol autorizado disponibles; versión del ERS identificada.</t>
  </si>
  <si>
    <t>Ejecutar CU-02 y aplicar el criterio: CA-01 a CA-03. Registrar evidencia reproducible.</t>
  </si>
  <si>
    <t>El comportamiento asociado a RF-01 cumple completamente el criterio definido y no genera efectos no autorizados.</t>
  </si>
  <si>
    <t>Diseñado, no ejecutado</t>
  </si>
  <si>
    <t>Sin evidencia de ejecución</t>
  </si>
  <si>
    <t>Verificar Agendar citas.</t>
  </si>
  <si>
    <t>Ejecutar CU-01 y aplicar el criterio: CA-01 a CA-04. Registrar evidencia reproducible.</t>
  </si>
  <si>
    <t>El comportamiento asociado a RF-02 cumple completamente el criterio definido y no genera efectos no autorizados.</t>
  </si>
  <si>
    <t>Verificar Buscar pacientes.</t>
  </si>
  <si>
    <t>Ejecutar CU-02 y aplicar el criterio: CA-01 a CA-04. Registrar evidencia reproducible.</t>
  </si>
  <si>
    <t>El comportamiento asociado a RF-03 cumple completamente el criterio definido y no genera efectos no autorizados.</t>
  </si>
  <si>
    <t>Verificar Emitir recetas.</t>
  </si>
  <si>
    <t>Ejecutar CU-03 y aplicar el criterio: CA-01 a CA-04. Registrar evidencia reproducible.</t>
  </si>
  <si>
    <t>El comportamiento asociado a RF-04 cumple completamente el criterio definido y no genera efectos no autorizados.</t>
  </si>
  <si>
    <t>Verificar Actualizar historial clínico.</t>
  </si>
  <si>
    <t>El comportamiento asociado a RF-05 cumple completamente el criterio definido y no genera efectos no autorizados.</t>
  </si>
  <si>
    <t>Verificar Cancelar citas.</t>
  </si>
  <si>
    <t>Ejecutar CU-04 y aplicar el criterio: CA-01 a CA-04. Registrar evidencia reproducible.</t>
  </si>
  <si>
    <t>El comportamiento asociado a RF-06 cumple completamente el criterio definido y no genera efectos no autorizados.</t>
  </si>
  <si>
    <t>Verificar Compartir información entre áreas.</t>
  </si>
  <si>
    <t>Ejecutar CU-05 y aplicar el criterio: CA-01 a CA-03. Registrar evidencia reproducible.</t>
  </si>
  <si>
    <t>El comportamiento asociado a RF-07 cumple completamente el criterio definido y no genera efectos no autorizados.</t>
  </si>
  <si>
    <t>Verificar Generar reportes de atención.</t>
  </si>
  <si>
    <t>El comportamiento asociado a RF-08 cumple completamente el criterio definido y no genera efectos no autorizados.</t>
  </si>
  <si>
    <t>Verificar Autenticar, recuperar contraseña y cerrar sesión.</t>
  </si>
  <si>
    <t>Ejecutar CU-12 / CU-32 / CU-33 y aplicar el criterio: CA-01 a CA-03. Registrar evidencia reproducible.</t>
  </si>
  <si>
    <t>El comportamiento asociado a RF-09 cumple completamente el criterio definido y no genera efectos no autorizados.</t>
  </si>
  <si>
    <t>Verificar Gestionar permisos y cuentas.</t>
  </si>
  <si>
    <t>Ejecutar CU-13 / CU-31 y aplicar el criterio: CA-01 a CA-03. Registrar evidencia reproducible.</t>
  </si>
  <si>
    <t>El comportamiento asociado a RF-10 cumple completamente el criterio definido y no genera efectos no autorizados.</t>
  </si>
  <si>
    <t>Verificar Notificar automáticamente.</t>
  </si>
  <si>
    <t>Ejecutar CU-14 y aplicar el criterio: CA-01 a CA-04. Registrar evidencia reproducible.</t>
  </si>
  <si>
    <t>El comportamiento asociado a RF-11 cumple completamente el criterio definido y no genera efectos no autorizados.</t>
  </si>
  <si>
    <t>Verificar Auditar acciones.</t>
  </si>
  <si>
    <t>Ejecutar CU-15 y aplicar el criterio: CA-01 a CA-03. Registrar evidencia reproducible.</t>
  </si>
  <si>
    <t>El comportamiento asociado a RF-12 cumple completamente el criterio definido y no genera efectos no autorizados.</t>
  </si>
  <si>
    <t>Verificar Consultar disponibilidad horaria.</t>
  </si>
  <si>
    <t>El comportamiento asociado a RF-13 cumple completamente el criterio definido y no genera efectos no autorizados.</t>
  </si>
  <si>
    <t>Verificar Digitalizar documentación clínica.</t>
  </si>
  <si>
    <t>Ejecutar CU-22 y aplicar el criterio: CA-01 a CA-04. Registrar evidencia reproducible.</t>
  </si>
  <si>
    <t>El comportamiento asociado a RF-14 cumple completamente el criterio definido y no genera efectos no autorizados.</t>
  </si>
  <si>
    <t>Verificar Gestionar inventario.</t>
  </si>
  <si>
    <t>Ejecutar CU-29 y aplicar el criterio: CA-01 a CA-02. Registrar evidencia reproducible.</t>
  </si>
  <si>
    <t>El comportamiento asociado a RF-15 cumple completamente el criterio definido y no genera efectos no autorizados.</t>
  </si>
  <si>
    <t>Verificar Asistente virtual con IA.</t>
  </si>
  <si>
    <t>Ejecutar Flujo documentado en RF-16 y aplicar el criterio: Criterios de RF-16. Registrar evidencia reproducible.</t>
  </si>
  <si>
    <t>El comportamiento asociado a RF-16 cumple completamente el criterio definido y no genera efectos no autorizados.</t>
  </si>
  <si>
    <t>Verificar Gestionar perfil del personal médico.</t>
  </si>
  <si>
    <t>Ejecutar CU-16 y aplicar el criterio: CA-01 a CA-03. Registrar evidencia reproducible.</t>
  </si>
  <si>
    <t>El comportamiento asociado a RF-17 cumple completamente el criterio definido y no genera efectos no autorizados.</t>
  </si>
  <si>
    <t>Verificar Asignar turnos del personal médico.</t>
  </si>
  <si>
    <t>Ejecutar CU-17 y aplicar el criterio: CA-01 a CA-03. Registrar evidencia reproducible.</t>
  </si>
  <si>
    <t>El comportamiento asociado a RF-18 cumple completamente el criterio definido y no genera efectos no autorizados.</t>
  </si>
  <si>
    <t>Verificar Consultar disponibilidad del personal.</t>
  </si>
  <si>
    <t>El comportamiento asociado a RF-19 cumple completamente el criterio definido y no genera efectos no autorizados.</t>
  </si>
  <si>
    <t>Verificar Reasignar turnos ante ausencias.</t>
  </si>
  <si>
    <t>El comportamiento asociado a RF-20 cumple completamente el criterio definido y no genera efectos no autorizados.</t>
  </si>
  <si>
    <t>Verificar Emitir comprobantes electrónicos.</t>
  </si>
  <si>
    <t>Ejecutar CU-18 y aplicar el criterio: CA-01 a CA-03. Registrar evidencia reproducible.</t>
  </si>
  <si>
    <t>El comportamiento asociado a RF-21 cumple completamente el criterio definido y no genera efectos no autorizados.</t>
  </si>
  <si>
    <t>Verificar Registrar pagos.</t>
  </si>
  <si>
    <t>Ejecutar CU-19 y aplicar el criterio: CA-01 a CA-03. Registrar evidencia reproducible.</t>
  </si>
  <si>
    <t>El comportamiento asociado a RF-22 cumple completamente el criterio definido y no genera efectos no autorizados.</t>
  </si>
  <si>
    <t>Verificar Generar reportes financieros.</t>
  </si>
  <si>
    <t>El comportamiento asociado a RF-23 cumple completamente el criterio definido y no genera efectos no autorizados.</t>
  </si>
  <si>
    <t>Verificar Configurar horarios por área.</t>
  </si>
  <si>
    <t>Ejecutar CU-11 y aplicar el criterio: CA-01 a CA-03. Registrar evidencia reproducible.</t>
  </si>
  <si>
    <t>El comportamiento asociado a RF-24 cumple completamente el criterio definido y no genera efectos no autorizados.</t>
  </si>
  <si>
    <t>Verificar Definir cupo máximo por turno.</t>
  </si>
  <si>
    <t>El comportamiento asociado a RF-25 cumple completamente el criterio definido y no genera efectos no autorizados.</t>
  </si>
  <si>
    <t>Verificar Registrar signos vitales.</t>
  </si>
  <si>
    <t>Ejecutar CU-06 y aplicar el criterio: CA-01 a CA-03. Registrar evidencia reproducible.</t>
  </si>
  <si>
    <t>El comportamiento asociado a RF-26 cumple completamente el criterio definido y no genera efectos no autorizados.</t>
  </si>
  <si>
    <t>Verificar Buscar paciente por cédula.</t>
  </si>
  <si>
    <t>Ejecutar CU-07 y aplicar el criterio: CA-01 a CA-03. Registrar evidencia reproducible.</t>
  </si>
  <si>
    <t>El comportamiento asociado a RF-27 cumple completamente el criterio definido y no genera efectos no autorizados.</t>
  </si>
  <si>
    <t>Verificar Registrar datos personales.</t>
  </si>
  <si>
    <t>El comportamiento asociado a RF-28 cumple completamente el criterio definido y no genera efectos no autorizados.</t>
  </si>
  <si>
    <t>Verificar Registrar menores sin cédula.</t>
  </si>
  <si>
    <t>Ejecutar CU-20 y aplicar el criterio: CA-01 a CA-02. Registrar evidencia reproducible.</t>
  </si>
  <si>
    <t>El comportamiento asociado a RF-29 cumple completamente el criterio definido y no genera efectos no autorizados.</t>
  </si>
  <si>
    <t>Verificar Restringir acceso clínico por rol.</t>
  </si>
  <si>
    <t>Ejecutar CU-10 y aplicar el criterio: CA-01 a CA-03. Registrar evidencia reproducible.</t>
  </si>
  <si>
    <t>El comportamiento asociado a RF-30 cumple completamente el criterio definido y no genera efectos no autorizados.</t>
  </si>
  <si>
    <t>Verificar Alertar stock bajo y caducidad.</t>
  </si>
  <si>
    <t>El comportamiento asociado a RF-31 cumple completamente el criterio definido y no genera efectos no autorizados.</t>
  </si>
  <si>
    <t>Verificar Registrar entrega trazable de medicamentos.</t>
  </si>
  <si>
    <t>Ejecutar CU-30 y aplicar el criterio: CA-01 a CA-02. Registrar evidencia reproducible.</t>
  </si>
  <si>
    <t>El comportamiento asociado a RF-32 cumple completamente el criterio definido y no genera efectos no autorizados.</t>
  </si>
  <si>
    <t>Verificar Registrar cobro por área.</t>
  </si>
  <si>
    <t>Ejecutar CU-08 y aplicar el criterio: CA-01 a CA-03. Registrar evidencia reproducible.</t>
  </si>
  <si>
    <t>El comportamiento asociado a RF-33 cumple completamente el criterio definido y no genera efectos no autorizados.</t>
  </si>
  <si>
    <t>Verificar Asignar turno automáticamente.</t>
  </si>
  <si>
    <t>El comportamiento asociado a RF-34 cumple completamente el criterio definido y no genera efectos no autorizados.</t>
  </si>
  <si>
    <t>Verificar Derivar paciente entre áreas.</t>
  </si>
  <si>
    <t>Ejecutar CU-09 y aplicar el criterio: CA-01 a CA-03. Registrar evidencia reproducible.</t>
  </si>
  <si>
    <t>El comportamiento asociado a RF-35 cumple completamente el criterio definido y no genera efectos no autorizados.</t>
  </si>
  <si>
    <t>Verificar Agendar citas por área.</t>
  </si>
  <si>
    <t>El comportamiento asociado a RF-36 cumple completamente el criterio definido y no genera efectos no autorizados.</t>
  </si>
  <si>
    <t>Verificar Reprogramar o cancelar citas por área.</t>
  </si>
  <si>
    <t>Ejecutar CU-21 y aplicar el criterio: CA-01 a CA-02. Registrar evidencia reproducible.</t>
  </si>
  <si>
    <t>El comportamiento asociado a RF-37 cumple completamente el criterio definido y no genera efectos no autorizados.</t>
  </si>
  <si>
    <t>Verificar Consultar rápidamente paciente registrado.</t>
  </si>
  <si>
    <t>El comportamiento asociado a RF-38 cumple completamente el criterio definido y no genera efectos no autorizados.</t>
  </si>
  <si>
    <t>Verificar Registrar atención clínica integral.</t>
  </si>
  <si>
    <t>Ejecutar CU-23 / CU-24 / CU-25 / CU-26 y aplicar el criterio: CA-01 a CA-02. Registrar evidencia reproducible.</t>
  </si>
  <si>
    <t>El comportamiento asociado a RF-39 cumple completamente el criterio definido y no genera efectos no autorizados.</t>
  </si>
  <si>
    <t>Verificar Registrar plan nutricional o sesión de terapia.</t>
  </si>
  <si>
    <t>Ejecutar CU-27 / CU-28 y aplicar el criterio: CA-01 a CA-02. Registrar evidencia reproducible.</t>
  </si>
  <si>
    <t>El comportamiento asociado a RF-40 cumple completamente el criterio definido y no genera efectos no autorizados.</t>
  </si>
  <si>
    <t>Verificar Eficiencia de consultas de historial.</t>
  </si>
  <si>
    <t>Ejecutar CU-02 y aplicar el criterio: Historial ≤ 2 s en 95 % con hasta 50 usuarios. Registrar evidencia reproducible.</t>
  </si>
  <si>
    <t>El comportamiento asociado a RNF-01 cumple completamente el criterio definido y no genera efectos no autorizados.</t>
  </si>
  <si>
    <t>Verificar Confidencialidad de datos.</t>
  </si>
  <si>
    <t>Ejecutar CU-12 / CU-13 y aplicar el criterio: TLS 1.2+, AES-256 y pruebas de penetración. Registrar evidencia reproducible.</t>
  </si>
  <si>
    <t>El comportamiento asociado a RNF-02 cumple completamente el criterio definido y no genera efectos no autorizados.</t>
  </si>
  <si>
    <t>Verificar Usabilidad general.</t>
  </si>
  <si>
    <t>Ejecutar CU-01 / CU-02 y aplicar el criterio: Finalización ≥ 90 % y SUS ≥ 75. Registrar evidencia reproducible.</t>
  </si>
  <si>
    <t>El comportamiento asociado a RNF-03 cumple completamente el criterio definido y no genera efectos no autorizados.</t>
  </si>
  <si>
    <t>Verificar Disponibilidad en horario de atención.</t>
  </si>
  <si>
    <t>Ejecutar No aplica: disponibilidad operacional y aplicar el criterio: Disponibilidad ≥ 99 % y MTTR ≤ 30 min. Registrar evidencia reproducible.</t>
  </si>
  <si>
    <t>El comportamiento asociado a RNF-04 cumple completamente el criterio definido y no genera efectos no autorizados.</t>
  </si>
  <si>
    <t>Verificar Mantenibilidad y extensibilidad.</t>
  </si>
  <si>
    <t>Ejecutar No aplica: arquitectura interna y aplicar el criterio: Cobertura automatizada ≥ 70 % y arquitectura por capas. Registrar evidencia reproducible.</t>
  </si>
  <si>
    <t>El comportamiento asociado a RNF-05 cumple completamente el criterio definido y no genera efectos no autorizados.</t>
  </si>
  <si>
    <t>Verificar Control de acceso clínico.</t>
  </si>
  <si>
    <t>Ejecutar CU-10 / CU-12 / CU-13 y aplicar el criterio: 100 % de accesos no autorizados rechazados y auditados. Registrar evidencia reproducible.</t>
  </si>
  <si>
    <t>El comportamiento asociado a RNF-06 cumple completamente el criterio definido y no genera efectos no autorizados.</t>
  </si>
  <si>
    <t>Verificar Compatibilidad y portabilidad web.</t>
  </si>
  <si>
    <t>Ejecutar No aplica: prueba transversal de interfaz y aplicar el criterio: Chrome, Edge y Safari; 360 px a 1920 px. Registrar evidencia reproducible.</t>
  </si>
  <si>
    <t>El comportamiento asociado a RNF-07 cumple completamente el criterio definido y no genera efectos no autorizados.</t>
  </si>
  <si>
    <t>Verificar Rendimiento de búsqueda por cédula.</t>
  </si>
  <si>
    <t>Ejecutar CU-07 y aplicar el criterio: Recuperar expediente ≤ 3 s en 95 %. Registrar evidencia reproducible.</t>
  </si>
  <si>
    <t>El comportamiento asociado a RNF-08 cumple completamente el criterio definido y no genera efectos no autorizados.</t>
  </si>
  <si>
    <t>Verificar Disponibilidad mensual.</t>
  </si>
  <si>
    <t>Ejecutar No aplica: disponibilidad operacional y aplicar el criterio: Disponibilidad mensual ≥ 99 %. Registrar evidencia reproducible.</t>
  </si>
  <si>
    <t>El comportamiento asociado a RNF-09 cumple completamente el criterio definido y no genera efectos no autorizados.</t>
  </si>
  <si>
    <t>Verificar Autenticación individual y RBAC.</t>
  </si>
  <si>
    <t>Ejecutar CU-12 / CU-13 y aplicar el criterio: 100 % de accesos indebidos bloqueados y registrados. Registrar evidencia reproducible.</t>
  </si>
  <si>
    <t>El comportamiento asociado a RNF-10 cumple completamente el criterio definido y no genera efectos no autorizados.</t>
  </si>
  <si>
    <t>Verificar Compatibilidad e integración.</t>
  </si>
  <si>
    <t>Ejecutar CU-06 / CU-09 y aplicar el criterio: Propagación entre módulos ≤ 10 s. Registrar evidencia reproducible.</t>
  </si>
  <si>
    <t>El comportamiento asociado a RNF-11 cumple completamente el criterio definido y no genera efectos no autorizados.</t>
  </si>
  <si>
    <t>Verificar Usabilidad del registro de pacientes.</t>
  </si>
  <si>
    <t>Ejecutar CU-07 y aplicar el criterio: Registro ≤ 5 min; error ≤ 5 % después de capacitación. Registrar evidencia reproducible.</t>
  </si>
  <si>
    <t>El comportamiento asociado a RNF-12 cumple completamente el criterio definido y no genera efectos no autorizados.</t>
  </si>
  <si>
    <t>Verificar Integridad de datos personales.</t>
  </si>
  <si>
    <t>Ejecutar CU-07 / CU-20 y aplicar el criterio: 100 % de registros cumplen validaciones obligatorias. Registrar evidencia reproducible.</t>
  </si>
  <si>
    <t>El comportamiento asociado a RNF-13 cumple completamente el criterio definido y no genera efectos no autorizados.</t>
  </si>
  <si>
    <t>Verificar Portabilidad a equipos actuales.</t>
  </si>
  <si>
    <t>Ejecutar No aplica: compatibilidad de plataforma y aplicar el criterio: 100 % de equipos actuales; criterio pendiente de precisar. Registrar evidencia reproducible.</t>
  </si>
  <si>
    <t>El comportamiento asociado a RNF-14 cumple completamente el criterio definido y no genera efectos no autorizados.</t>
  </si>
  <si>
    <t>Verificar Generación de informe de inventario.</t>
  </si>
  <si>
    <t>Ejecutar CU-29 y aplicar el criterio: Informe automático de inventario ≤ 2 min. Registrar evidencia reproducible.</t>
  </si>
  <si>
    <t>El comportamiento asociado a RNF-15 cumple completamente el criterio definido y no genera efectos no autorizados.</t>
  </si>
  <si>
    <t>Verificar Protección de datos de menores.</t>
  </si>
  <si>
    <t>Ejecutar CU-20 y aplicar el criterio: 0 asociaciones erróneas; auditoría pendiente de precisar. Registrar evidencia reproducible.</t>
  </si>
  <si>
    <t>El comportamiento asociado a RNF-16 cumple completamente el criterio definido y no genera efectos no autorizados.</t>
  </si>
  <si>
    <t>Verificar Requisito ausente en el catálogo.</t>
  </si>
  <si>
    <t>No aplica: requisito ausente.</t>
  </si>
  <si>
    <t>Definir RNF-17 o corregir formalmente la numeración antes de diseñar la prueba.</t>
  </si>
  <si>
    <t>Existe una decisión aprobada y trazable sobre RNF-17.</t>
  </si>
  <si>
    <t>Verificar Explicabilidad del asistente virtual.</t>
  </si>
  <si>
    <t>Ejecutar Flujo documentado en RF-16 y aplicar el criterio: ≥ 80 % califica explicación ≥ 4/5; &lt; 2 s y ≤ 40 palabras. Registrar evidencia reproducible.</t>
  </si>
  <si>
    <t>El comportamiento asociado a RNF-18 cumple completamente el criterio definido y no genera efectos no autorizados.</t>
  </si>
  <si>
    <t>CONTROL AUTOMÁTICO DE COBERTURA Y CALIDAD</t>
  </si>
  <si>
    <t>Los resultados se calculan desde las hojas Matriz y Catalogo_pruebas.</t>
  </si>
  <si>
    <t>Control</t>
  </si>
  <si>
    <t>Resultado</t>
  </si>
  <si>
    <t>Relaciones normalizadas</t>
  </si>
  <si>
    <t>58 identificadores esperados</t>
  </si>
  <si>
    <t>Requisitos funcionales</t>
  </si>
  <si>
    <t>40 RF</t>
  </si>
  <si>
    <t>Identificadores RNF esperados</t>
  </si>
  <si>
    <t>18 RNF</t>
  </si>
  <si>
    <t>Celdas vacías injustificadas</t>
  </si>
  <si>
    <t>0</t>
  </si>
  <si>
    <t>Pruebas definidas</t>
  </si>
  <si>
    <t>58</t>
  </si>
  <si>
    <t>Pruebas ejecutadas</t>
  </si>
  <si>
    <t>Informativo</t>
  </si>
  <si>
    <t>Mockups no verificados</t>
  </si>
  <si>
    <t>0 antes de baseline</t>
  </si>
  <si>
    <t>Requisitos bajo RFC-02</t>
  </si>
  <si>
    <t>Estado general</t>
  </si>
  <si>
    <t>Todos los controles satisfechos</t>
  </si>
  <si>
    <t>Elemento pendiente</t>
  </si>
  <si>
    <t>Requisito(s)</t>
  </si>
  <si>
    <t>Acción</t>
  </si>
  <si>
    <t>Documento de decisión</t>
  </si>
  <si>
    <t>RF-02, RF-11, RF-16, RNF-18</t>
  </si>
  <si>
    <t>Crear artefactos o corregir enlaces</t>
  </si>
  <si>
    <t>RFC-01</t>
  </si>
  <si>
    <t>Pendiente</t>
  </si>
  <si>
    <t>Fusiones inconsistentes</t>
  </si>
  <si>
    <t>RF-01/14; RF-15/31/32; RF-18/19; RF-22/33; RF-24/25</t>
  </si>
  <si>
    <t>Consolidar o separar alcance y actualizar relaciones</t>
  </si>
  <si>
    <t>RFC-02</t>
  </si>
  <si>
    <t>RNF-17 ausente</t>
  </si>
  <si>
    <t>Definir requisito o corregir numeración y conteo del ERS</t>
  </si>
  <si>
    <t>Nuevo defecto / decisión 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</si>
</sst>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sz val="9"/>
      <color rgb="FF1F2937"/>
      <name val="Carlito"/>
    </font>
    <font>
      <i/>
      <sz val="11"/>
      <color rgb="FF1F2937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i/>
      <sz val="12"/>
      <color rgb="FF7F6000"/>
      <name val="Times New Roman"/>
      <family val="1"/>
    </font>
    <font>
      <sz val="12"/>
      <color rgb="FF1F2937"/>
      <name val="Times New Roman"/>
      <family val="1"/>
    </font>
    <font>
      <b/>
      <sz val="18"/>
      <color rgb="FFFFFFFF"/>
      <name val="Times New Roman"/>
      <family val="1"/>
    </font>
    <font>
      <b/>
      <sz val="18"/>
      <color rgb="FF1F2937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theme="7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5" borderId="1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vertical="top" wrapText="1"/>
    </xf>
    <xf numFmtId="0" fontId="5" fillId="0" borderId="4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vertical="top" wrapText="1"/>
    </xf>
    <xf numFmtId="0" fontId="5" fillId="0" borderId="9" xfId="0" applyNumberFormat="1" applyFont="1" applyFill="1" applyBorder="1" applyAlignment="1">
      <alignment vertical="top" wrapText="1"/>
    </xf>
    <xf numFmtId="0" fontId="5" fillId="0" borderId="10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top" wrapText="1"/>
    </xf>
    <xf numFmtId="0" fontId="5" fillId="0" borderId="3" xfId="0" applyNumberFormat="1" applyFont="1" applyFill="1" applyBorder="1" applyAlignment="1">
      <alignment horizontal="center" vertical="top" wrapText="1"/>
    </xf>
    <xf numFmtId="0" fontId="5" fillId="0" borderId="5" xfId="0" applyNumberFormat="1" applyFont="1" applyFill="1" applyBorder="1" applyAlignment="1">
      <alignment horizontal="center" vertical="top" wrapText="1"/>
    </xf>
    <xf numFmtId="0" fontId="5" fillId="0" borderId="6" xfId="0" applyNumberFormat="1" applyFont="1" applyFill="1" applyBorder="1" applyAlignment="1">
      <alignment horizontal="center" vertical="top" wrapText="1"/>
    </xf>
    <xf numFmtId="0" fontId="5" fillId="0" borderId="8" xfId="0" applyNumberFormat="1" applyFont="1" applyFill="1" applyBorder="1" applyAlignment="1">
      <alignment horizontal="center" vertical="top" wrapText="1"/>
    </xf>
    <xf numFmtId="0" fontId="5" fillId="0" borderId="9" xfId="0" applyNumberFormat="1" applyFont="1" applyFill="1" applyBorder="1" applyAlignment="1">
      <alignment horizontal="center" vertical="top" wrapText="1"/>
    </xf>
    <xf numFmtId="0" fontId="4" fillId="5" borderId="1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vertical="center" wrapText="1"/>
    </xf>
    <xf numFmtId="0" fontId="2" fillId="6" borderId="6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/>
    </xf>
    <xf numFmtId="0" fontId="7" fillId="2" borderId="0" xfId="0" applyNumberFormat="1" applyFont="1" applyFill="1" applyBorder="1" applyAlignment="1">
      <alignment horizontal="center"/>
    </xf>
    <xf numFmtId="0" fontId="8" fillId="0" borderId="0" xfId="0" applyFont="1" applyBorder="1"/>
    <xf numFmtId="0" fontId="8" fillId="0" borderId="11" xfId="0" applyFont="1" applyBorder="1"/>
    <xf numFmtId="0" fontId="10" fillId="0" borderId="11" xfId="0" applyNumberFormat="1" applyFont="1" applyFill="1" applyBorder="1" applyAlignment="1">
      <alignment horizontal="center" vertical="top" wrapText="1"/>
    </xf>
    <xf numFmtId="0" fontId="10" fillId="0" borderId="11" xfId="0" applyNumberFormat="1" applyFont="1" applyFill="1" applyBorder="1" applyAlignment="1">
      <alignment vertical="top" wrapText="1"/>
    </xf>
    <xf numFmtId="0" fontId="8" fillId="0" borderId="11" xfId="0" applyNumberFormat="1" applyFont="1" applyFill="1" applyBorder="1" applyAlignment="1">
      <alignment wrapText="1"/>
    </xf>
    <xf numFmtId="0" fontId="11" fillId="8" borderId="11" xfId="0" applyNumberFormat="1" applyFont="1" applyFill="1" applyBorder="1" applyAlignment="1">
      <alignment horizontal="center" vertical="center" wrapText="1"/>
    </xf>
    <xf numFmtId="0" fontId="11" fillId="7" borderId="11" xfId="0" applyNumberFormat="1" applyFont="1" applyFill="1" applyBorder="1" applyAlignment="1">
      <alignment horizontal="center" vertical="center" wrapText="1"/>
    </xf>
    <xf numFmtId="0" fontId="9" fillId="4" borderId="11" xfId="0" applyNumberFormat="1" applyFont="1" applyFill="1" applyBorder="1" applyAlignment="1">
      <alignment horizontal="center" wrapText="1"/>
    </xf>
    <xf numFmtId="0" fontId="12" fillId="3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8"/>
        <color rgb="FFFFFFFF"/>
        <name val="Times New Roman"/>
        <family val="1"/>
        <scheme val="none"/>
      </font>
      <fill>
        <patternFill patternType="solid">
          <fgColor indexed="64"/>
          <bgColor theme="7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/>
        <color rgb="FF9C5700"/>
      </font>
      <fill>
        <patternFill>
          <bgColor rgb="FFFCE5CD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5700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b2e3a94755134070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1905000</xdr:colOff>
      <xdr:row>13</xdr:row>
      <xdr:rowOff>685800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41F53523-9AD1-CB4B-CA31-E4874DC80BF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Equipo SICM" id="{DD855160-C6FA-4BF2-9B7A-6035DA5EB2A0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Trazabilidad" displayName="MatrizTrazabilidad" ref="A5:K63" totalsRowShown="0" headerRowDxfId="0" dataDxfId="12">
  <tableColumns count="11">
    <tableColumn id="1" xr3:uid="{00000000-0010-0000-0000-000001000000}" name="Fila" dataDxfId="11"/>
    <tableColumn id="2" xr3:uid="{00000000-0010-0000-0000-000002000000}" name="Requisito" dataDxfId="10"/>
    <tableColumn id="3" xr3:uid="{00000000-0010-0000-0000-000003000000}" name="Fuente" dataDxfId="9"/>
    <tableColumn id="4" xr3:uid="{00000000-0010-0000-0000-000004000000}" name="Caso de uso" dataDxfId="8"/>
    <tableColumn id="5" xr3:uid="{00000000-0010-0000-0000-000005000000}" name="Historia" dataDxfId="7"/>
    <tableColumn id="6" xr3:uid="{00000000-0010-0000-0000-000006000000}" name="Criterio" dataDxfId="6"/>
    <tableColumn id="7" xr3:uid="{00000000-0010-0000-0000-000007000000}" name="Diseño" dataDxfId="5"/>
    <tableColumn id="8" xr3:uid="{00000000-0010-0000-0000-000008000000}" name="Mockup" dataDxfId="4"/>
    <tableColumn id="9" xr3:uid="{00000000-0010-0000-0000-000009000000}" name="Prueba" dataDxfId="3"/>
    <tableColumn id="10" xr3:uid="{00000000-0010-0000-0000-00000A000000}" name="Estado" dataDxfId="2"/>
    <tableColumn id="11" xr3:uid="{00000000-0010-0000-0000-00000B000000}" name="Objetivo" dataDxfId="1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alogoPruebas" displayName="CatalogoPruebas" ref="A4:I62" totalsRowShown="0">
  <tableColumns count="9">
    <tableColumn id="1" xr3:uid="{00000000-0010-0000-0100-000001000000}" name="Prueba"/>
    <tableColumn id="2" xr3:uid="{00000000-0010-0000-0100-000002000000}" name="Requisito"/>
    <tableColumn id="3" xr3:uid="{00000000-0010-0000-0100-000003000000}" name="Fila matriz"/>
    <tableColumn id="4" xr3:uid="{00000000-0010-0000-0100-000004000000}" name="Objetivo de prueba"/>
    <tableColumn id="5" xr3:uid="{00000000-0010-0000-0100-000005000000}" name="Precondición"/>
    <tableColumn id="6" xr3:uid="{00000000-0010-0000-0100-000006000000}" name="Procedimiento"/>
    <tableColumn id="7" xr3:uid="{00000000-0010-0000-0100-000007000000}" name="Resultado esperado"/>
    <tableColumn id="8" xr3:uid="{00000000-0010-0000-0100-000008000000}" name="Estado de ejecución"/>
    <tableColumn id="9" xr3:uid="{00000000-0010-0000-0100-000009000000}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H7" dT="2026-08-04T05:15:03.762" personId="{DD855160-C6FA-4BF2-9B7A-6035DA5EB2A0}" id="{ABB72E7F-477B-61CA-AA3F-6801760E2704}">
    <xltc:text>La referencia anterior apuntaba a un mockup no verificado. No debe sustituirse por otro identificador sin acuerdo del CCB y evidencia del artefacto real.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41529dedb8aa4e68" Type="http://schemas.microsoft.com/office/2017/10/relationships/threadedComment" Target="../threadedcomments/threadedcomment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zoomScale="58" workbookViewId="0">
      <selection activeCell="F14" sqref="F14"/>
    </sheetView>
  </sheetViews>
  <sheetFormatPr baseColWidth="10" defaultColWidth="9" defaultRowHeight="15.75"/>
  <cols>
    <col min="1" max="1" width="7.125" style="21" bestFit="1" customWidth="1"/>
    <col min="2" max="2" width="14.375" style="21" bestFit="1" customWidth="1"/>
    <col min="3" max="3" width="29.75" style="21" bestFit="1" customWidth="1"/>
    <col min="4" max="4" width="24.875" style="21" bestFit="1" customWidth="1"/>
    <col min="5" max="5" width="21.875" style="21" bestFit="1" customWidth="1"/>
    <col min="6" max="6" width="41.375" style="21" bestFit="1" customWidth="1"/>
    <col min="7" max="7" width="29.75" style="21" bestFit="1" customWidth="1"/>
    <col min="8" max="8" width="35.625" style="21" bestFit="1" customWidth="1"/>
    <col min="9" max="9" width="12.875" style="21" bestFit="1" customWidth="1"/>
    <col min="10" max="10" width="34.375" style="21" bestFit="1" customWidth="1"/>
    <col min="11" max="11" width="34" style="21" customWidth="1"/>
    <col min="12" max="12" width="31.5" style="21" bestFit="1" customWidth="1"/>
    <col min="13" max="16384" width="9" style="21"/>
  </cols>
  <sheetData>
    <row r="1" spans="1:1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22.5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2" ht="22.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26" t="s">
        <v>10</v>
      </c>
      <c r="I5" s="26" t="s">
        <v>11</v>
      </c>
      <c r="J5" s="26" t="s">
        <v>12</v>
      </c>
      <c r="K5" s="26" t="s">
        <v>13</v>
      </c>
      <c r="L5" s="27" t="s">
        <v>14</v>
      </c>
    </row>
    <row r="6" spans="1:12" ht="31.5">
      <c r="A6" s="23">
        <v>1</v>
      </c>
      <c r="B6" s="23" t="s">
        <v>15</v>
      </c>
      <c r="C6" s="24" t="s">
        <v>16</v>
      </c>
      <c r="D6" s="24" t="s">
        <v>17</v>
      </c>
      <c r="E6" s="24" t="s">
        <v>18</v>
      </c>
      <c r="F6" s="24" t="s">
        <v>19</v>
      </c>
      <c r="G6" s="24" t="s">
        <v>20</v>
      </c>
      <c r="H6" s="24" t="s">
        <v>21</v>
      </c>
      <c r="I6" s="23" t="s">
        <v>22</v>
      </c>
      <c r="J6" s="24" t="s">
        <v>23</v>
      </c>
      <c r="K6" s="24" t="s">
        <v>24</v>
      </c>
      <c r="L6" s="25" t="s">
        <v>25</v>
      </c>
    </row>
    <row r="7" spans="1:12" ht="31.5">
      <c r="A7" s="23">
        <v>2</v>
      </c>
      <c r="B7" s="23" t="s">
        <v>26</v>
      </c>
      <c r="C7" s="24" t="s">
        <v>27</v>
      </c>
      <c r="D7" s="24" t="s">
        <v>28</v>
      </c>
      <c r="E7" s="24" t="s">
        <v>29</v>
      </c>
      <c r="F7" s="24" t="s">
        <v>30</v>
      </c>
      <c r="G7" s="24" t="s">
        <v>31</v>
      </c>
      <c r="H7" s="24" t="s">
        <v>32</v>
      </c>
      <c r="I7" s="23" t="s">
        <v>33</v>
      </c>
      <c r="J7" s="24" t="s">
        <v>34</v>
      </c>
      <c r="K7" s="24" t="s">
        <v>35</v>
      </c>
      <c r="L7" s="25" t="s">
        <v>36</v>
      </c>
    </row>
    <row r="8" spans="1:12" ht="31.5">
      <c r="A8" s="23">
        <v>3</v>
      </c>
      <c r="B8" s="23" t="s">
        <v>37</v>
      </c>
      <c r="C8" s="24" t="s">
        <v>16</v>
      </c>
      <c r="D8" s="24" t="s">
        <v>17</v>
      </c>
      <c r="E8" s="24" t="s">
        <v>38</v>
      </c>
      <c r="F8" s="24" t="s">
        <v>30</v>
      </c>
      <c r="G8" s="24" t="s">
        <v>20</v>
      </c>
      <c r="H8" s="24" t="s">
        <v>39</v>
      </c>
      <c r="I8" s="23" t="s">
        <v>40</v>
      </c>
      <c r="J8" s="24" t="s">
        <v>41</v>
      </c>
      <c r="K8" s="24" t="s">
        <v>42</v>
      </c>
      <c r="L8" s="25" t="s">
        <v>43</v>
      </c>
    </row>
    <row r="9" spans="1:12" ht="31.5">
      <c r="A9" s="23">
        <v>4</v>
      </c>
      <c r="B9" s="23" t="s">
        <v>44</v>
      </c>
      <c r="C9" s="24" t="s">
        <v>16</v>
      </c>
      <c r="D9" s="24" t="s">
        <v>45</v>
      </c>
      <c r="E9" s="24" t="s">
        <v>46</v>
      </c>
      <c r="F9" s="24" t="s">
        <v>30</v>
      </c>
      <c r="G9" s="24" t="s">
        <v>20</v>
      </c>
      <c r="H9" s="24" t="s">
        <v>47</v>
      </c>
      <c r="I9" s="23" t="s">
        <v>48</v>
      </c>
      <c r="J9" s="24" t="s">
        <v>41</v>
      </c>
      <c r="K9" s="24" t="s">
        <v>49</v>
      </c>
      <c r="L9" s="25" t="s">
        <v>50</v>
      </c>
    </row>
    <row r="10" spans="1:12" ht="31.5">
      <c r="A10" s="23">
        <v>5</v>
      </c>
      <c r="B10" s="23" t="s">
        <v>51</v>
      </c>
      <c r="C10" s="24" t="s">
        <v>16</v>
      </c>
      <c r="D10" s="24" t="s">
        <v>17</v>
      </c>
      <c r="E10" s="24" t="s">
        <v>52</v>
      </c>
      <c r="F10" s="24" t="s">
        <v>30</v>
      </c>
      <c r="G10" s="24" t="s">
        <v>20</v>
      </c>
      <c r="H10" s="24" t="s">
        <v>21</v>
      </c>
      <c r="I10" s="23" t="s">
        <v>53</v>
      </c>
      <c r="J10" s="24" t="s">
        <v>41</v>
      </c>
      <c r="K10" s="24" t="s">
        <v>54</v>
      </c>
      <c r="L10" s="25" t="s">
        <v>55</v>
      </c>
    </row>
    <row r="11" spans="1:12" ht="31.5">
      <c r="A11" s="23">
        <v>6</v>
      </c>
      <c r="B11" s="23" t="s">
        <v>56</v>
      </c>
      <c r="C11" s="24" t="s">
        <v>16</v>
      </c>
      <c r="D11" s="24" t="s">
        <v>57</v>
      </c>
      <c r="E11" s="24" t="s">
        <v>58</v>
      </c>
      <c r="F11" s="24" t="s">
        <v>30</v>
      </c>
      <c r="G11" s="24" t="s">
        <v>31</v>
      </c>
      <c r="H11" s="24" t="s">
        <v>59</v>
      </c>
      <c r="I11" s="23" t="s">
        <v>60</v>
      </c>
      <c r="J11" s="24" t="s">
        <v>41</v>
      </c>
      <c r="K11" s="24" t="s">
        <v>61</v>
      </c>
      <c r="L11" s="25" t="s">
        <v>62</v>
      </c>
    </row>
    <row r="12" spans="1:12" ht="31.5">
      <c r="A12" s="23">
        <v>7</v>
      </c>
      <c r="B12" s="23" t="s">
        <v>63</v>
      </c>
      <c r="C12" s="24" t="s">
        <v>64</v>
      </c>
      <c r="D12" s="24" t="s">
        <v>65</v>
      </c>
      <c r="E12" s="24" t="s">
        <v>66</v>
      </c>
      <c r="F12" s="24" t="s">
        <v>19</v>
      </c>
      <c r="G12" s="24" t="s">
        <v>20</v>
      </c>
      <c r="H12" s="24" t="s">
        <v>67</v>
      </c>
      <c r="I12" s="23" t="s">
        <v>68</v>
      </c>
      <c r="J12" s="24" t="s">
        <v>41</v>
      </c>
      <c r="K12" s="24" t="s">
        <v>69</v>
      </c>
      <c r="L12" s="25" t="s">
        <v>70</v>
      </c>
    </row>
    <row r="13" spans="1:12" ht="31.5">
      <c r="A13" s="23">
        <v>8</v>
      </c>
      <c r="B13" s="23" t="s">
        <v>71</v>
      </c>
      <c r="C13" s="24" t="s">
        <v>16</v>
      </c>
      <c r="D13" s="24" t="s">
        <v>65</v>
      </c>
      <c r="E13" s="24" t="s">
        <v>18</v>
      </c>
      <c r="F13" s="24" t="s">
        <v>19</v>
      </c>
      <c r="G13" s="24" t="s">
        <v>20</v>
      </c>
      <c r="H13" s="24" t="s">
        <v>72</v>
      </c>
      <c r="I13" s="23" t="s">
        <v>73</v>
      </c>
      <c r="J13" s="24" t="s">
        <v>41</v>
      </c>
      <c r="K13" s="24" t="s">
        <v>74</v>
      </c>
      <c r="L13" s="25" t="s">
        <v>75</v>
      </c>
    </row>
    <row r="14" spans="1:12" ht="31.5">
      <c r="A14" s="23">
        <v>9</v>
      </c>
      <c r="B14" s="23" t="s">
        <v>76</v>
      </c>
      <c r="C14" s="24" t="s">
        <v>77</v>
      </c>
      <c r="D14" s="24" t="s">
        <v>78</v>
      </c>
      <c r="E14" s="24" t="s">
        <v>79</v>
      </c>
      <c r="F14" s="24" t="s">
        <v>19</v>
      </c>
      <c r="G14" s="24" t="s">
        <v>80</v>
      </c>
      <c r="H14" s="24" t="s">
        <v>81</v>
      </c>
      <c r="I14" s="23" t="s">
        <v>82</v>
      </c>
      <c r="J14" s="24" t="s">
        <v>41</v>
      </c>
      <c r="K14" s="24" t="s">
        <v>83</v>
      </c>
      <c r="L14" s="25" t="s">
        <v>84</v>
      </c>
    </row>
    <row r="15" spans="1:12" ht="31.5">
      <c r="A15" s="23">
        <v>10</v>
      </c>
      <c r="B15" s="23" t="s">
        <v>85</v>
      </c>
      <c r="C15" s="24" t="s">
        <v>86</v>
      </c>
      <c r="D15" s="24" t="s">
        <v>87</v>
      </c>
      <c r="E15" s="24" t="s">
        <v>88</v>
      </c>
      <c r="F15" s="24" t="s">
        <v>19</v>
      </c>
      <c r="G15" s="24" t="s">
        <v>80</v>
      </c>
      <c r="H15" s="24" t="s">
        <v>81</v>
      </c>
      <c r="I15" s="23" t="s">
        <v>89</v>
      </c>
      <c r="J15" s="24" t="s">
        <v>41</v>
      </c>
      <c r="K15" s="24" t="s">
        <v>90</v>
      </c>
      <c r="L15" s="25" t="s">
        <v>91</v>
      </c>
    </row>
    <row r="16" spans="1:12" ht="31.5">
      <c r="A16" s="23">
        <v>11</v>
      </c>
      <c r="B16" s="23" t="s">
        <v>92</v>
      </c>
      <c r="C16" s="24" t="s">
        <v>93</v>
      </c>
      <c r="D16" s="24" t="s">
        <v>94</v>
      </c>
      <c r="E16" s="24" t="s">
        <v>29</v>
      </c>
      <c r="F16" s="24" t="s">
        <v>30</v>
      </c>
      <c r="G16" s="24" t="s">
        <v>31</v>
      </c>
      <c r="H16" s="24" t="s">
        <v>32</v>
      </c>
      <c r="I16" s="23" t="s">
        <v>95</v>
      </c>
      <c r="J16" s="24" t="s">
        <v>34</v>
      </c>
      <c r="K16" s="24" t="s">
        <v>96</v>
      </c>
      <c r="L16" s="25" t="s">
        <v>97</v>
      </c>
    </row>
    <row r="17" spans="1:12" ht="31.5">
      <c r="A17" s="23">
        <v>12</v>
      </c>
      <c r="B17" s="23" t="s">
        <v>98</v>
      </c>
      <c r="C17" s="24" t="s">
        <v>64</v>
      </c>
      <c r="D17" s="24" t="s">
        <v>99</v>
      </c>
      <c r="E17" s="24" t="s">
        <v>100</v>
      </c>
      <c r="F17" s="24" t="s">
        <v>19</v>
      </c>
      <c r="G17" s="24" t="s">
        <v>101</v>
      </c>
      <c r="H17" s="24" t="s">
        <v>102</v>
      </c>
      <c r="I17" s="23" t="s">
        <v>103</v>
      </c>
      <c r="J17" s="24" t="s">
        <v>41</v>
      </c>
      <c r="K17" s="24" t="s">
        <v>104</v>
      </c>
      <c r="L17" s="25" t="s">
        <v>105</v>
      </c>
    </row>
    <row r="18" spans="1:12" ht="31.5">
      <c r="A18" s="23">
        <v>13</v>
      </c>
      <c r="B18" s="23" t="s">
        <v>106</v>
      </c>
      <c r="C18" s="24" t="s">
        <v>107</v>
      </c>
      <c r="D18" s="24" t="s">
        <v>28</v>
      </c>
      <c r="E18" s="24" t="s">
        <v>29</v>
      </c>
      <c r="F18" s="24" t="s">
        <v>30</v>
      </c>
      <c r="G18" s="24" t="s">
        <v>108</v>
      </c>
      <c r="H18" s="24" t="s">
        <v>109</v>
      </c>
      <c r="I18" s="23" t="s">
        <v>110</v>
      </c>
      <c r="J18" s="24" t="s">
        <v>41</v>
      </c>
      <c r="K18" s="24" t="s">
        <v>111</v>
      </c>
      <c r="L18" s="25" t="s">
        <v>112</v>
      </c>
    </row>
    <row r="19" spans="1:12" ht="31.5">
      <c r="A19" s="23">
        <v>14</v>
      </c>
      <c r="B19" s="23" t="s">
        <v>113</v>
      </c>
      <c r="C19" s="24" t="s">
        <v>16</v>
      </c>
      <c r="D19" s="24" t="s">
        <v>114</v>
      </c>
      <c r="E19" s="24" t="s">
        <v>52</v>
      </c>
      <c r="F19" s="24" t="s">
        <v>30</v>
      </c>
      <c r="G19" s="24" t="s">
        <v>20</v>
      </c>
      <c r="H19" s="24" t="s">
        <v>21</v>
      </c>
      <c r="I19" s="23" t="s">
        <v>115</v>
      </c>
      <c r="J19" s="24" t="s">
        <v>23</v>
      </c>
      <c r="K19" s="24" t="s">
        <v>116</v>
      </c>
      <c r="L19" s="25" t="s">
        <v>117</v>
      </c>
    </row>
    <row r="20" spans="1:12" ht="31.5">
      <c r="A20" s="23">
        <v>15</v>
      </c>
      <c r="B20" s="23" t="s">
        <v>118</v>
      </c>
      <c r="C20" s="24" t="s">
        <v>119</v>
      </c>
      <c r="D20" s="24" t="s">
        <v>120</v>
      </c>
      <c r="E20" s="24" t="s">
        <v>121</v>
      </c>
      <c r="F20" s="24" t="s">
        <v>122</v>
      </c>
      <c r="G20" s="24" t="s">
        <v>123</v>
      </c>
      <c r="H20" s="24" t="s">
        <v>124</v>
      </c>
      <c r="I20" s="23" t="s">
        <v>125</v>
      </c>
      <c r="J20" s="24" t="s">
        <v>23</v>
      </c>
      <c r="K20" s="24" t="s">
        <v>126</v>
      </c>
      <c r="L20" s="25" t="s">
        <v>127</v>
      </c>
    </row>
    <row r="21" spans="1:12" ht="31.5">
      <c r="A21" s="23">
        <v>16</v>
      </c>
      <c r="B21" s="23" t="s">
        <v>128</v>
      </c>
      <c r="C21" s="24" t="s">
        <v>16</v>
      </c>
      <c r="D21" s="24" t="s">
        <v>129</v>
      </c>
      <c r="E21" s="24" t="s">
        <v>130</v>
      </c>
      <c r="F21" s="24" t="s">
        <v>131</v>
      </c>
      <c r="G21" s="24" t="s">
        <v>31</v>
      </c>
      <c r="H21" s="24" t="s">
        <v>32</v>
      </c>
      <c r="I21" s="23" t="s">
        <v>132</v>
      </c>
      <c r="J21" s="24" t="s">
        <v>34</v>
      </c>
      <c r="K21" s="24" t="s">
        <v>133</v>
      </c>
      <c r="L21" s="25" t="s">
        <v>134</v>
      </c>
    </row>
    <row r="22" spans="1:12" ht="31.5">
      <c r="A22" s="23">
        <v>17</v>
      </c>
      <c r="B22" s="23" t="s">
        <v>135</v>
      </c>
      <c r="C22" s="24" t="s">
        <v>16</v>
      </c>
      <c r="D22" s="24" t="s">
        <v>136</v>
      </c>
      <c r="E22" s="24" t="s">
        <v>137</v>
      </c>
      <c r="F22" s="24" t="s">
        <v>19</v>
      </c>
      <c r="G22" s="24" t="s">
        <v>20</v>
      </c>
      <c r="H22" s="24" t="s">
        <v>72</v>
      </c>
      <c r="I22" s="23" t="s">
        <v>138</v>
      </c>
      <c r="J22" s="24" t="s">
        <v>41</v>
      </c>
      <c r="K22" s="24" t="s">
        <v>139</v>
      </c>
      <c r="L22" s="25" t="s">
        <v>140</v>
      </c>
    </row>
    <row r="23" spans="1:12" ht="31.5">
      <c r="A23" s="23">
        <v>18</v>
      </c>
      <c r="B23" s="23" t="s">
        <v>141</v>
      </c>
      <c r="C23" s="24" t="s">
        <v>16</v>
      </c>
      <c r="D23" s="24" t="s">
        <v>142</v>
      </c>
      <c r="E23" s="24" t="s">
        <v>143</v>
      </c>
      <c r="F23" s="24" t="s">
        <v>19</v>
      </c>
      <c r="G23" s="24" t="s">
        <v>20</v>
      </c>
      <c r="H23" s="24" t="s">
        <v>72</v>
      </c>
      <c r="I23" s="23" t="s">
        <v>144</v>
      </c>
      <c r="J23" s="24" t="s">
        <v>23</v>
      </c>
      <c r="K23" s="24" t="s">
        <v>145</v>
      </c>
      <c r="L23" s="25" t="s">
        <v>146</v>
      </c>
    </row>
    <row r="24" spans="1:12" ht="31.5">
      <c r="A24" s="23">
        <v>19</v>
      </c>
      <c r="B24" s="23" t="s">
        <v>147</v>
      </c>
      <c r="C24" s="24" t="s">
        <v>16</v>
      </c>
      <c r="D24" s="24" t="s">
        <v>142</v>
      </c>
      <c r="E24" s="24" t="s">
        <v>148</v>
      </c>
      <c r="F24" s="24" t="s">
        <v>19</v>
      </c>
      <c r="G24" s="24" t="s">
        <v>20</v>
      </c>
      <c r="H24" s="24" t="s">
        <v>72</v>
      </c>
      <c r="I24" s="23" t="s">
        <v>149</v>
      </c>
      <c r="J24" s="24" t="s">
        <v>23</v>
      </c>
      <c r="K24" s="24" t="s">
        <v>150</v>
      </c>
      <c r="L24" s="25" t="s">
        <v>151</v>
      </c>
    </row>
    <row r="25" spans="1:12" ht="31.5">
      <c r="A25" s="23">
        <v>20</v>
      </c>
      <c r="B25" s="23" t="s">
        <v>152</v>
      </c>
      <c r="C25" s="24" t="s">
        <v>16</v>
      </c>
      <c r="D25" s="24" t="s">
        <v>142</v>
      </c>
      <c r="E25" s="24" t="s">
        <v>143</v>
      </c>
      <c r="F25" s="24" t="s">
        <v>19</v>
      </c>
      <c r="G25" s="24" t="s">
        <v>20</v>
      </c>
      <c r="H25" s="24" t="s">
        <v>72</v>
      </c>
      <c r="I25" s="23" t="s">
        <v>153</v>
      </c>
      <c r="J25" s="24" t="s">
        <v>41</v>
      </c>
      <c r="K25" s="24" t="s">
        <v>154</v>
      </c>
      <c r="L25" s="25" t="s">
        <v>155</v>
      </c>
    </row>
    <row r="26" spans="1:12" ht="31.5">
      <c r="A26" s="23">
        <v>21</v>
      </c>
      <c r="B26" s="23" t="s">
        <v>156</v>
      </c>
      <c r="C26" s="24" t="s">
        <v>157</v>
      </c>
      <c r="D26" s="24" t="s">
        <v>158</v>
      </c>
      <c r="E26" s="24" t="s">
        <v>159</v>
      </c>
      <c r="F26" s="24" t="s">
        <v>19</v>
      </c>
      <c r="G26" s="24" t="s">
        <v>160</v>
      </c>
      <c r="H26" s="24" t="s">
        <v>161</v>
      </c>
      <c r="I26" s="23" t="s">
        <v>162</v>
      </c>
      <c r="J26" s="24" t="s">
        <v>41</v>
      </c>
      <c r="K26" s="24" t="s">
        <v>163</v>
      </c>
      <c r="L26" s="25" t="s">
        <v>164</v>
      </c>
    </row>
    <row r="27" spans="1:12" ht="31.5">
      <c r="A27" s="23">
        <v>22</v>
      </c>
      <c r="B27" s="23" t="s">
        <v>165</v>
      </c>
      <c r="C27" s="24" t="s">
        <v>166</v>
      </c>
      <c r="D27" s="24" t="s">
        <v>167</v>
      </c>
      <c r="E27" s="24" t="s">
        <v>168</v>
      </c>
      <c r="F27" s="24" t="s">
        <v>19</v>
      </c>
      <c r="G27" s="24" t="s">
        <v>160</v>
      </c>
      <c r="H27" s="24" t="s">
        <v>161</v>
      </c>
      <c r="I27" s="23" t="s">
        <v>169</v>
      </c>
      <c r="J27" s="24" t="s">
        <v>23</v>
      </c>
      <c r="K27" s="24" t="s">
        <v>170</v>
      </c>
      <c r="L27" s="25" t="s">
        <v>171</v>
      </c>
    </row>
    <row r="28" spans="1:12" ht="31.5">
      <c r="A28" s="23">
        <v>23</v>
      </c>
      <c r="B28" s="23" t="s">
        <v>172</v>
      </c>
      <c r="C28" s="24" t="s">
        <v>166</v>
      </c>
      <c r="D28" s="24" t="s">
        <v>167</v>
      </c>
      <c r="E28" s="24" t="s">
        <v>168</v>
      </c>
      <c r="F28" s="24" t="s">
        <v>19</v>
      </c>
      <c r="G28" s="24" t="s">
        <v>160</v>
      </c>
      <c r="H28" s="24" t="s">
        <v>161</v>
      </c>
      <c r="I28" s="23" t="s">
        <v>173</v>
      </c>
      <c r="J28" s="24" t="s">
        <v>41</v>
      </c>
      <c r="K28" s="24" t="s">
        <v>174</v>
      </c>
      <c r="L28" s="25" t="s">
        <v>175</v>
      </c>
    </row>
    <row r="29" spans="1:12" ht="31.5">
      <c r="A29" s="23">
        <v>24</v>
      </c>
      <c r="B29" s="23" t="s">
        <v>176</v>
      </c>
      <c r="C29" s="24" t="s">
        <v>16</v>
      </c>
      <c r="D29" s="24" t="s">
        <v>177</v>
      </c>
      <c r="E29" s="24" t="s">
        <v>178</v>
      </c>
      <c r="F29" s="24" t="s">
        <v>19</v>
      </c>
      <c r="G29" s="24" t="s">
        <v>160</v>
      </c>
      <c r="H29" s="24" t="s">
        <v>161</v>
      </c>
      <c r="I29" s="23" t="s">
        <v>179</v>
      </c>
      <c r="J29" s="24" t="s">
        <v>23</v>
      </c>
      <c r="K29" s="24" t="s">
        <v>180</v>
      </c>
      <c r="L29" s="25" t="s">
        <v>181</v>
      </c>
    </row>
    <row r="30" spans="1:12" ht="31.5">
      <c r="A30" s="23">
        <v>25</v>
      </c>
      <c r="B30" s="23" t="s">
        <v>182</v>
      </c>
      <c r="C30" s="24" t="s">
        <v>16</v>
      </c>
      <c r="D30" s="24" t="s">
        <v>177</v>
      </c>
      <c r="E30" s="24" t="s">
        <v>178</v>
      </c>
      <c r="F30" s="24" t="s">
        <v>19</v>
      </c>
      <c r="G30" s="24" t="s">
        <v>160</v>
      </c>
      <c r="H30" s="24" t="s">
        <v>161</v>
      </c>
      <c r="I30" s="23" t="s">
        <v>183</v>
      </c>
      <c r="J30" s="24" t="s">
        <v>23</v>
      </c>
      <c r="K30" s="24" t="s">
        <v>184</v>
      </c>
      <c r="L30" s="25" t="s">
        <v>185</v>
      </c>
    </row>
    <row r="31" spans="1:12" ht="31.5">
      <c r="A31" s="23">
        <v>26</v>
      </c>
      <c r="B31" s="23" t="s">
        <v>186</v>
      </c>
      <c r="C31" s="24" t="s">
        <v>166</v>
      </c>
      <c r="D31" s="24" t="s">
        <v>187</v>
      </c>
      <c r="E31" s="24" t="s">
        <v>188</v>
      </c>
      <c r="F31" s="24" t="s">
        <v>19</v>
      </c>
      <c r="G31" s="24" t="s">
        <v>123</v>
      </c>
      <c r="H31" s="24" t="s">
        <v>189</v>
      </c>
      <c r="I31" s="23" t="s">
        <v>190</v>
      </c>
      <c r="J31" s="24" t="s">
        <v>41</v>
      </c>
      <c r="K31" s="24" t="s">
        <v>191</v>
      </c>
      <c r="L31" s="25" t="s">
        <v>192</v>
      </c>
    </row>
    <row r="32" spans="1:12" ht="31.5">
      <c r="A32" s="23">
        <v>27</v>
      </c>
      <c r="B32" s="23" t="s">
        <v>193</v>
      </c>
      <c r="C32" s="24" t="s">
        <v>166</v>
      </c>
      <c r="D32" s="24" t="s">
        <v>194</v>
      </c>
      <c r="E32" s="24" t="s">
        <v>195</v>
      </c>
      <c r="F32" s="24" t="s">
        <v>19</v>
      </c>
      <c r="G32" s="24" t="s">
        <v>123</v>
      </c>
      <c r="H32" s="24" t="s">
        <v>161</v>
      </c>
      <c r="I32" s="23" t="s">
        <v>196</v>
      </c>
      <c r="J32" s="24" t="s">
        <v>41</v>
      </c>
      <c r="K32" s="24" t="s">
        <v>197</v>
      </c>
      <c r="L32" s="25" t="s">
        <v>198</v>
      </c>
    </row>
    <row r="33" spans="1:12" ht="31.5">
      <c r="A33" s="23">
        <v>28</v>
      </c>
      <c r="B33" s="23" t="s">
        <v>199</v>
      </c>
      <c r="C33" s="24" t="s">
        <v>166</v>
      </c>
      <c r="D33" s="24" t="s">
        <v>194</v>
      </c>
      <c r="E33" s="24" t="s">
        <v>200</v>
      </c>
      <c r="F33" s="24" t="s">
        <v>19</v>
      </c>
      <c r="G33" s="24" t="s">
        <v>160</v>
      </c>
      <c r="H33" s="24" t="s">
        <v>161</v>
      </c>
      <c r="I33" s="23" t="s">
        <v>201</v>
      </c>
      <c r="J33" s="24" t="s">
        <v>41</v>
      </c>
      <c r="K33" s="24" t="s">
        <v>202</v>
      </c>
      <c r="L33" s="25" t="s">
        <v>203</v>
      </c>
    </row>
    <row r="34" spans="1:12" ht="31.5">
      <c r="A34" s="23">
        <v>29</v>
      </c>
      <c r="B34" s="23" t="s">
        <v>204</v>
      </c>
      <c r="C34" s="24" t="s">
        <v>166</v>
      </c>
      <c r="D34" s="24" t="s">
        <v>205</v>
      </c>
      <c r="E34" s="24" t="s">
        <v>200</v>
      </c>
      <c r="F34" s="24" t="s">
        <v>122</v>
      </c>
      <c r="G34" s="24" t="s">
        <v>160</v>
      </c>
      <c r="H34" s="24" t="s">
        <v>161</v>
      </c>
      <c r="I34" s="23" t="s">
        <v>206</v>
      </c>
      <c r="J34" s="24" t="s">
        <v>41</v>
      </c>
      <c r="K34" s="24" t="s">
        <v>207</v>
      </c>
      <c r="L34" s="25" t="s">
        <v>208</v>
      </c>
    </row>
    <row r="35" spans="1:12" ht="31.5">
      <c r="A35" s="23">
        <v>30</v>
      </c>
      <c r="B35" s="23" t="s">
        <v>209</v>
      </c>
      <c r="C35" s="24" t="s">
        <v>166</v>
      </c>
      <c r="D35" s="24" t="s">
        <v>210</v>
      </c>
      <c r="E35" s="24" t="s">
        <v>66</v>
      </c>
      <c r="F35" s="24" t="s">
        <v>19</v>
      </c>
      <c r="G35" s="24" t="s">
        <v>211</v>
      </c>
      <c r="H35" s="24" t="s">
        <v>212</v>
      </c>
      <c r="I35" s="23" t="s">
        <v>213</v>
      </c>
      <c r="J35" s="24" t="s">
        <v>41</v>
      </c>
      <c r="K35" s="24" t="s">
        <v>214</v>
      </c>
      <c r="L35" s="25" t="s">
        <v>215</v>
      </c>
    </row>
    <row r="36" spans="1:12" ht="31.5">
      <c r="A36" s="23">
        <v>31</v>
      </c>
      <c r="B36" s="23" t="s">
        <v>216</v>
      </c>
      <c r="C36" s="24" t="s">
        <v>166</v>
      </c>
      <c r="D36" s="24" t="s">
        <v>120</v>
      </c>
      <c r="E36" s="24" t="s">
        <v>121</v>
      </c>
      <c r="F36" s="24" t="s">
        <v>122</v>
      </c>
      <c r="G36" s="24" t="s">
        <v>123</v>
      </c>
      <c r="H36" s="24" t="s">
        <v>124</v>
      </c>
      <c r="I36" s="23" t="s">
        <v>217</v>
      </c>
      <c r="J36" s="24" t="s">
        <v>23</v>
      </c>
      <c r="K36" s="24" t="s">
        <v>218</v>
      </c>
      <c r="L36" s="25" t="s">
        <v>219</v>
      </c>
    </row>
    <row r="37" spans="1:12" ht="31.5">
      <c r="A37" s="23">
        <v>32</v>
      </c>
      <c r="B37" s="23" t="s">
        <v>220</v>
      </c>
      <c r="C37" s="24" t="s">
        <v>166</v>
      </c>
      <c r="D37" s="24" t="s">
        <v>221</v>
      </c>
      <c r="E37" s="24" t="s">
        <v>222</v>
      </c>
      <c r="F37" s="24" t="s">
        <v>122</v>
      </c>
      <c r="G37" s="24" t="s">
        <v>123</v>
      </c>
      <c r="H37" s="24" t="s">
        <v>124</v>
      </c>
      <c r="I37" s="23" t="s">
        <v>223</v>
      </c>
      <c r="J37" s="24" t="s">
        <v>23</v>
      </c>
      <c r="K37" s="24" t="s">
        <v>224</v>
      </c>
      <c r="L37" s="25" t="s">
        <v>225</v>
      </c>
    </row>
    <row r="38" spans="1:12" ht="31.5">
      <c r="A38" s="23">
        <v>33</v>
      </c>
      <c r="B38" s="23" t="s">
        <v>226</v>
      </c>
      <c r="C38" s="24" t="s">
        <v>166</v>
      </c>
      <c r="D38" s="24" t="s">
        <v>227</v>
      </c>
      <c r="E38" s="24" t="s">
        <v>228</v>
      </c>
      <c r="F38" s="24" t="s">
        <v>19</v>
      </c>
      <c r="G38" s="24" t="s">
        <v>160</v>
      </c>
      <c r="H38" s="24" t="s">
        <v>161</v>
      </c>
      <c r="I38" s="23" t="s">
        <v>229</v>
      </c>
      <c r="J38" s="24" t="s">
        <v>23</v>
      </c>
      <c r="K38" s="24" t="s">
        <v>230</v>
      </c>
      <c r="L38" s="25" t="s">
        <v>231</v>
      </c>
    </row>
    <row r="39" spans="1:12" ht="31.5">
      <c r="A39" s="23">
        <v>34</v>
      </c>
      <c r="B39" s="23" t="s">
        <v>232</v>
      </c>
      <c r="C39" s="24" t="s">
        <v>166</v>
      </c>
      <c r="D39" s="24" t="s">
        <v>227</v>
      </c>
      <c r="E39" s="24" t="s">
        <v>233</v>
      </c>
      <c r="F39" s="24" t="s">
        <v>19</v>
      </c>
      <c r="G39" s="24" t="s">
        <v>160</v>
      </c>
      <c r="H39" s="24" t="s">
        <v>161</v>
      </c>
      <c r="I39" s="23" t="s">
        <v>234</v>
      </c>
      <c r="J39" s="24" t="s">
        <v>41</v>
      </c>
      <c r="K39" s="24" t="s">
        <v>235</v>
      </c>
      <c r="L39" s="25" t="s">
        <v>236</v>
      </c>
    </row>
    <row r="40" spans="1:12" ht="31.5">
      <c r="A40" s="23">
        <v>35</v>
      </c>
      <c r="B40" s="23" t="s">
        <v>237</v>
      </c>
      <c r="C40" s="24" t="s">
        <v>166</v>
      </c>
      <c r="D40" s="24" t="s">
        <v>238</v>
      </c>
      <c r="E40" s="24" t="s">
        <v>66</v>
      </c>
      <c r="F40" s="24" t="s">
        <v>19</v>
      </c>
      <c r="G40" s="24" t="s">
        <v>123</v>
      </c>
      <c r="H40" s="24" t="s">
        <v>239</v>
      </c>
      <c r="I40" s="23" t="s">
        <v>240</v>
      </c>
      <c r="J40" s="24" t="s">
        <v>41</v>
      </c>
      <c r="K40" s="24" t="s">
        <v>241</v>
      </c>
      <c r="L40" s="25" t="s">
        <v>242</v>
      </c>
    </row>
    <row r="41" spans="1:12" ht="31.5">
      <c r="A41" s="23">
        <v>36</v>
      </c>
      <c r="B41" s="23" t="s">
        <v>243</v>
      </c>
      <c r="C41" s="24" t="s">
        <v>166</v>
      </c>
      <c r="D41" s="24" t="s">
        <v>28</v>
      </c>
      <c r="E41" s="24" t="s">
        <v>29</v>
      </c>
      <c r="F41" s="24" t="s">
        <v>30</v>
      </c>
      <c r="G41" s="24" t="s">
        <v>244</v>
      </c>
      <c r="H41" s="24" t="s">
        <v>245</v>
      </c>
      <c r="I41" s="23" t="s">
        <v>246</v>
      </c>
      <c r="J41" s="24" t="s">
        <v>41</v>
      </c>
      <c r="K41" s="24" t="s">
        <v>247</v>
      </c>
      <c r="L41" s="25" t="s">
        <v>248</v>
      </c>
    </row>
    <row r="42" spans="1:12" ht="31.5">
      <c r="A42" s="23">
        <v>37</v>
      </c>
      <c r="B42" s="23" t="s">
        <v>249</v>
      </c>
      <c r="C42" s="24" t="s">
        <v>166</v>
      </c>
      <c r="D42" s="24" t="s">
        <v>250</v>
      </c>
      <c r="E42" s="24" t="s">
        <v>251</v>
      </c>
      <c r="F42" s="24" t="s">
        <v>122</v>
      </c>
      <c r="G42" s="24" t="s">
        <v>244</v>
      </c>
      <c r="H42" s="24" t="s">
        <v>252</v>
      </c>
      <c r="I42" s="23" t="s">
        <v>253</v>
      </c>
      <c r="J42" s="24" t="s">
        <v>41</v>
      </c>
      <c r="K42" s="24" t="s">
        <v>254</v>
      </c>
      <c r="L42" s="25" t="s">
        <v>255</v>
      </c>
    </row>
    <row r="43" spans="1:12" ht="31.5">
      <c r="A43" s="23">
        <v>38</v>
      </c>
      <c r="B43" s="23" t="s">
        <v>256</v>
      </c>
      <c r="C43" s="24" t="s">
        <v>166</v>
      </c>
      <c r="D43" s="24" t="s">
        <v>194</v>
      </c>
      <c r="E43" s="24" t="s">
        <v>257</v>
      </c>
      <c r="F43" s="24" t="s">
        <v>19</v>
      </c>
      <c r="G43" s="24" t="s">
        <v>160</v>
      </c>
      <c r="H43" s="24" t="s">
        <v>161</v>
      </c>
      <c r="I43" s="23" t="s">
        <v>258</v>
      </c>
      <c r="J43" s="24" t="s">
        <v>41</v>
      </c>
      <c r="K43" s="24" t="s">
        <v>259</v>
      </c>
      <c r="L43" s="25" t="s">
        <v>260</v>
      </c>
    </row>
    <row r="44" spans="1:12" ht="31.5">
      <c r="A44" s="23">
        <v>39</v>
      </c>
      <c r="B44" s="23" t="s">
        <v>261</v>
      </c>
      <c r="C44" s="24" t="s">
        <v>16</v>
      </c>
      <c r="D44" s="24" t="s">
        <v>262</v>
      </c>
      <c r="E44" s="24" t="s">
        <v>263</v>
      </c>
      <c r="F44" s="24" t="s">
        <v>122</v>
      </c>
      <c r="G44" s="24" t="s">
        <v>20</v>
      </c>
      <c r="H44" s="24" t="s">
        <v>264</v>
      </c>
      <c r="I44" s="23" t="s">
        <v>265</v>
      </c>
      <c r="J44" s="24" t="s">
        <v>41</v>
      </c>
      <c r="K44" s="24" t="s">
        <v>266</v>
      </c>
      <c r="L44" s="25" t="s">
        <v>267</v>
      </c>
    </row>
    <row r="45" spans="1:12" ht="31.5">
      <c r="A45" s="23">
        <v>40</v>
      </c>
      <c r="B45" s="23" t="s">
        <v>268</v>
      </c>
      <c r="C45" s="24" t="s">
        <v>269</v>
      </c>
      <c r="D45" s="24" t="s">
        <v>270</v>
      </c>
      <c r="E45" s="24" t="s">
        <v>271</v>
      </c>
      <c r="F45" s="24" t="s">
        <v>122</v>
      </c>
      <c r="G45" s="24" t="s">
        <v>272</v>
      </c>
      <c r="H45" s="24" t="s">
        <v>273</v>
      </c>
      <c r="I45" s="23" t="s">
        <v>274</v>
      </c>
      <c r="J45" s="24" t="s">
        <v>41</v>
      </c>
      <c r="K45" s="24" t="s">
        <v>275</v>
      </c>
      <c r="L45" s="25" t="s">
        <v>276</v>
      </c>
    </row>
    <row r="46" spans="1:12" ht="31.5">
      <c r="A46" s="23">
        <v>41</v>
      </c>
      <c r="B46" s="23" t="s">
        <v>277</v>
      </c>
      <c r="C46" s="24" t="s">
        <v>278</v>
      </c>
      <c r="D46" s="24" t="s">
        <v>17</v>
      </c>
      <c r="E46" s="24" t="s">
        <v>38</v>
      </c>
      <c r="F46" s="24" t="s">
        <v>279</v>
      </c>
      <c r="G46" s="24" t="s">
        <v>20</v>
      </c>
      <c r="H46" s="24" t="s">
        <v>21</v>
      </c>
      <c r="I46" s="23" t="s">
        <v>280</v>
      </c>
      <c r="J46" s="24" t="s">
        <v>41</v>
      </c>
      <c r="K46" s="24" t="s">
        <v>281</v>
      </c>
      <c r="L46" s="25" t="s">
        <v>282</v>
      </c>
    </row>
    <row r="47" spans="1:12" ht="31.5">
      <c r="A47" s="23">
        <v>42</v>
      </c>
      <c r="B47" s="23" t="s">
        <v>283</v>
      </c>
      <c r="C47" s="24" t="s">
        <v>284</v>
      </c>
      <c r="D47" s="24" t="s">
        <v>285</v>
      </c>
      <c r="E47" s="24" t="s">
        <v>286</v>
      </c>
      <c r="F47" s="24" t="s">
        <v>287</v>
      </c>
      <c r="G47" s="24" t="s">
        <v>288</v>
      </c>
      <c r="H47" s="24" t="s">
        <v>289</v>
      </c>
      <c r="I47" s="23" t="s">
        <v>290</v>
      </c>
      <c r="J47" s="24" t="s">
        <v>41</v>
      </c>
      <c r="K47" s="24" t="s">
        <v>291</v>
      </c>
      <c r="L47" s="25" t="s">
        <v>292</v>
      </c>
    </row>
    <row r="48" spans="1:12" ht="31.5">
      <c r="A48" s="23">
        <v>43</v>
      </c>
      <c r="B48" s="23" t="s">
        <v>293</v>
      </c>
      <c r="C48" s="24" t="s">
        <v>278</v>
      </c>
      <c r="D48" s="24" t="s">
        <v>294</v>
      </c>
      <c r="E48" s="24" t="s">
        <v>295</v>
      </c>
      <c r="F48" s="24" t="s">
        <v>296</v>
      </c>
      <c r="G48" s="24" t="s">
        <v>297</v>
      </c>
      <c r="H48" s="24" t="s">
        <v>298</v>
      </c>
      <c r="I48" s="23" t="s">
        <v>299</v>
      </c>
      <c r="J48" s="24" t="s">
        <v>41</v>
      </c>
      <c r="K48" s="24" t="s">
        <v>300</v>
      </c>
      <c r="L48" s="25" t="s">
        <v>301</v>
      </c>
    </row>
    <row r="49" spans="1:12" ht="31.5">
      <c r="A49" s="23">
        <v>44</v>
      </c>
      <c r="B49" s="23" t="s">
        <v>302</v>
      </c>
      <c r="C49" s="24" t="s">
        <v>278</v>
      </c>
      <c r="D49" s="24" t="s">
        <v>303</v>
      </c>
      <c r="E49" s="24" t="s">
        <v>304</v>
      </c>
      <c r="F49" s="24" t="s">
        <v>305</v>
      </c>
      <c r="G49" s="24" t="s">
        <v>306</v>
      </c>
      <c r="H49" s="24" t="s">
        <v>307</v>
      </c>
      <c r="I49" s="23" t="s">
        <v>308</v>
      </c>
      <c r="J49" s="24" t="s">
        <v>41</v>
      </c>
      <c r="K49" s="24" t="s">
        <v>309</v>
      </c>
      <c r="L49" s="25" t="s">
        <v>310</v>
      </c>
    </row>
    <row r="50" spans="1:12" ht="31.5">
      <c r="A50" s="23">
        <v>45</v>
      </c>
      <c r="B50" s="23" t="s">
        <v>311</v>
      </c>
      <c r="C50" s="24" t="s">
        <v>278</v>
      </c>
      <c r="D50" s="24" t="s">
        <v>312</v>
      </c>
      <c r="E50" s="24" t="s">
        <v>304</v>
      </c>
      <c r="F50" s="24" t="s">
        <v>313</v>
      </c>
      <c r="G50" s="24" t="s">
        <v>314</v>
      </c>
      <c r="H50" s="24" t="s">
        <v>315</v>
      </c>
      <c r="I50" s="23" t="s">
        <v>316</v>
      </c>
      <c r="J50" s="24" t="s">
        <v>41</v>
      </c>
      <c r="K50" s="24" t="s">
        <v>317</v>
      </c>
      <c r="L50" s="25" t="s">
        <v>318</v>
      </c>
    </row>
    <row r="51" spans="1:12" ht="31.5">
      <c r="A51" s="23">
        <v>46</v>
      </c>
      <c r="B51" s="23" t="s">
        <v>319</v>
      </c>
      <c r="C51" s="24" t="s">
        <v>284</v>
      </c>
      <c r="D51" s="24" t="s">
        <v>320</v>
      </c>
      <c r="E51" s="24" t="s">
        <v>321</v>
      </c>
      <c r="F51" s="24" t="s">
        <v>322</v>
      </c>
      <c r="G51" s="24" t="s">
        <v>323</v>
      </c>
      <c r="H51" s="24" t="s">
        <v>324</v>
      </c>
      <c r="I51" s="23" t="s">
        <v>325</v>
      </c>
      <c r="J51" s="24" t="s">
        <v>41</v>
      </c>
      <c r="K51" s="24" t="s">
        <v>326</v>
      </c>
      <c r="L51" s="25" t="s">
        <v>327</v>
      </c>
    </row>
    <row r="52" spans="1:12" ht="31.5">
      <c r="A52" s="23">
        <v>47</v>
      </c>
      <c r="B52" s="23" t="s">
        <v>328</v>
      </c>
      <c r="C52" s="24" t="s">
        <v>278</v>
      </c>
      <c r="D52" s="24" t="s">
        <v>329</v>
      </c>
      <c r="E52" s="24" t="s">
        <v>304</v>
      </c>
      <c r="F52" s="24" t="s">
        <v>330</v>
      </c>
      <c r="G52" s="24" t="s">
        <v>331</v>
      </c>
      <c r="H52" s="24" t="s">
        <v>332</v>
      </c>
      <c r="I52" s="23" t="s">
        <v>333</v>
      </c>
      <c r="J52" s="24" t="s">
        <v>41</v>
      </c>
      <c r="K52" s="24" t="s">
        <v>334</v>
      </c>
      <c r="L52" s="25" t="s">
        <v>335</v>
      </c>
    </row>
    <row r="53" spans="1:12" ht="31.5">
      <c r="A53" s="23">
        <v>48</v>
      </c>
      <c r="B53" s="23" t="s">
        <v>336</v>
      </c>
      <c r="C53" s="24" t="s">
        <v>337</v>
      </c>
      <c r="D53" s="24" t="s">
        <v>194</v>
      </c>
      <c r="E53" s="24" t="s">
        <v>195</v>
      </c>
      <c r="F53" s="24" t="s">
        <v>338</v>
      </c>
      <c r="G53" s="24" t="s">
        <v>339</v>
      </c>
      <c r="H53" s="24" t="s">
        <v>161</v>
      </c>
      <c r="I53" s="23" t="s">
        <v>340</v>
      </c>
      <c r="J53" s="24" t="s">
        <v>41</v>
      </c>
      <c r="K53" s="24" t="s">
        <v>341</v>
      </c>
      <c r="L53" s="25" t="s">
        <v>342</v>
      </c>
    </row>
    <row r="54" spans="1:12" ht="31.5">
      <c r="A54" s="23">
        <v>49</v>
      </c>
      <c r="B54" s="23" t="s">
        <v>343</v>
      </c>
      <c r="C54" s="24" t="s">
        <v>337</v>
      </c>
      <c r="D54" s="24" t="s">
        <v>303</v>
      </c>
      <c r="E54" s="24" t="s">
        <v>304</v>
      </c>
      <c r="F54" s="24" t="s">
        <v>344</v>
      </c>
      <c r="G54" s="24" t="s">
        <v>306</v>
      </c>
      <c r="H54" s="24" t="s">
        <v>307</v>
      </c>
      <c r="I54" s="23" t="s">
        <v>345</v>
      </c>
      <c r="J54" s="24" t="s">
        <v>41</v>
      </c>
      <c r="K54" s="24" t="s">
        <v>346</v>
      </c>
      <c r="L54" s="25" t="s">
        <v>347</v>
      </c>
    </row>
    <row r="55" spans="1:12" ht="31.5">
      <c r="A55" s="23">
        <v>50</v>
      </c>
      <c r="B55" s="23" t="s">
        <v>348</v>
      </c>
      <c r="C55" s="24" t="s">
        <v>349</v>
      </c>
      <c r="D55" s="24" t="s">
        <v>285</v>
      </c>
      <c r="E55" s="24" t="s">
        <v>286</v>
      </c>
      <c r="F55" s="24" t="s">
        <v>350</v>
      </c>
      <c r="G55" s="24" t="s">
        <v>351</v>
      </c>
      <c r="H55" s="24" t="s">
        <v>81</v>
      </c>
      <c r="I55" s="23" t="s">
        <v>352</v>
      </c>
      <c r="J55" s="24" t="s">
        <v>41</v>
      </c>
      <c r="K55" s="24" t="s">
        <v>353</v>
      </c>
      <c r="L55" s="25" t="s">
        <v>354</v>
      </c>
    </row>
    <row r="56" spans="1:12" ht="31.5">
      <c r="A56" s="23">
        <v>51</v>
      </c>
      <c r="B56" s="23" t="s">
        <v>355</v>
      </c>
      <c r="C56" s="24" t="s">
        <v>337</v>
      </c>
      <c r="D56" s="24" t="s">
        <v>356</v>
      </c>
      <c r="E56" s="24" t="s">
        <v>357</v>
      </c>
      <c r="F56" s="24" t="s">
        <v>358</v>
      </c>
      <c r="G56" s="24" t="s">
        <v>359</v>
      </c>
      <c r="H56" s="24" t="s">
        <v>360</v>
      </c>
      <c r="I56" s="23" t="s">
        <v>361</v>
      </c>
      <c r="J56" s="24" t="s">
        <v>41</v>
      </c>
      <c r="K56" s="24" t="s">
        <v>362</v>
      </c>
      <c r="L56" s="25" t="s">
        <v>363</v>
      </c>
    </row>
    <row r="57" spans="1:12" ht="31.5">
      <c r="A57" s="23">
        <v>52</v>
      </c>
      <c r="B57" s="23" t="s">
        <v>364</v>
      </c>
      <c r="C57" s="24" t="s">
        <v>337</v>
      </c>
      <c r="D57" s="24" t="s">
        <v>194</v>
      </c>
      <c r="E57" s="24" t="s">
        <v>200</v>
      </c>
      <c r="F57" s="24" t="s">
        <v>365</v>
      </c>
      <c r="G57" s="24" t="s">
        <v>339</v>
      </c>
      <c r="H57" s="24" t="s">
        <v>161</v>
      </c>
      <c r="I57" s="23" t="s">
        <v>366</v>
      </c>
      <c r="J57" s="24" t="s">
        <v>41</v>
      </c>
      <c r="K57" s="24" t="s">
        <v>367</v>
      </c>
      <c r="L57" s="25" t="s">
        <v>368</v>
      </c>
    </row>
    <row r="58" spans="1:12" ht="31.5">
      <c r="A58" s="23">
        <v>53</v>
      </c>
      <c r="B58" s="23" t="s">
        <v>369</v>
      </c>
      <c r="C58" s="24" t="s">
        <v>337</v>
      </c>
      <c r="D58" s="24" t="s">
        <v>370</v>
      </c>
      <c r="E58" s="24" t="s">
        <v>200</v>
      </c>
      <c r="F58" s="24" t="s">
        <v>371</v>
      </c>
      <c r="G58" s="24" t="s">
        <v>339</v>
      </c>
      <c r="H58" s="24" t="s">
        <v>161</v>
      </c>
      <c r="I58" s="23" t="s">
        <v>372</v>
      </c>
      <c r="J58" s="24" t="s">
        <v>41</v>
      </c>
      <c r="K58" s="24" t="s">
        <v>373</v>
      </c>
      <c r="L58" s="25" t="s">
        <v>374</v>
      </c>
    </row>
    <row r="59" spans="1:12" ht="31.5">
      <c r="A59" s="23">
        <v>54</v>
      </c>
      <c r="B59" s="23" t="s">
        <v>375</v>
      </c>
      <c r="C59" s="24" t="s">
        <v>376</v>
      </c>
      <c r="D59" s="24" t="s">
        <v>377</v>
      </c>
      <c r="E59" s="24" t="s">
        <v>304</v>
      </c>
      <c r="F59" s="24" t="s">
        <v>378</v>
      </c>
      <c r="G59" s="24" t="s">
        <v>379</v>
      </c>
      <c r="H59" s="24" t="s">
        <v>380</v>
      </c>
      <c r="I59" s="23" t="s">
        <v>381</v>
      </c>
      <c r="J59" s="24" t="s">
        <v>41</v>
      </c>
      <c r="K59" s="24" t="s">
        <v>382</v>
      </c>
      <c r="L59" s="25" t="s">
        <v>383</v>
      </c>
    </row>
    <row r="60" spans="1:12" ht="31.5">
      <c r="A60" s="23">
        <v>55</v>
      </c>
      <c r="B60" s="23" t="s">
        <v>384</v>
      </c>
      <c r="C60" s="24" t="s">
        <v>337</v>
      </c>
      <c r="D60" s="24" t="s">
        <v>120</v>
      </c>
      <c r="E60" s="24" t="s">
        <v>121</v>
      </c>
      <c r="F60" s="24" t="s">
        <v>385</v>
      </c>
      <c r="G60" s="24" t="s">
        <v>123</v>
      </c>
      <c r="H60" s="24" t="s">
        <v>124</v>
      </c>
      <c r="I60" s="23" t="s">
        <v>386</v>
      </c>
      <c r="J60" s="24" t="s">
        <v>41</v>
      </c>
      <c r="K60" s="24" t="s">
        <v>387</v>
      </c>
      <c r="L60" s="25" t="s">
        <v>388</v>
      </c>
    </row>
    <row r="61" spans="1:12" ht="31.5">
      <c r="A61" s="23">
        <v>56</v>
      </c>
      <c r="B61" s="23" t="s">
        <v>389</v>
      </c>
      <c r="C61" s="24" t="s">
        <v>349</v>
      </c>
      <c r="D61" s="24" t="s">
        <v>205</v>
      </c>
      <c r="E61" s="24" t="s">
        <v>200</v>
      </c>
      <c r="F61" s="24" t="s">
        <v>390</v>
      </c>
      <c r="G61" s="24" t="s">
        <v>339</v>
      </c>
      <c r="H61" s="24" t="s">
        <v>161</v>
      </c>
      <c r="I61" s="23" t="s">
        <v>391</v>
      </c>
      <c r="J61" s="24" t="s">
        <v>41</v>
      </c>
      <c r="K61" s="24" t="s">
        <v>392</v>
      </c>
      <c r="L61" s="25" t="s">
        <v>393</v>
      </c>
    </row>
    <row r="62" spans="1:12" ht="31.5">
      <c r="A62" s="23">
        <v>57</v>
      </c>
      <c r="B62" s="23" t="s">
        <v>394</v>
      </c>
      <c r="C62" s="24" t="s">
        <v>395</v>
      </c>
      <c r="D62" s="24" t="s">
        <v>396</v>
      </c>
      <c r="E62" s="24" t="s">
        <v>396</v>
      </c>
      <c r="F62" s="24" t="s">
        <v>397</v>
      </c>
      <c r="G62" s="24" t="s">
        <v>396</v>
      </c>
      <c r="H62" s="24" t="s">
        <v>396</v>
      </c>
      <c r="I62" s="23" t="s">
        <v>398</v>
      </c>
      <c r="J62" s="24" t="s">
        <v>399</v>
      </c>
      <c r="K62" s="24" t="s">
        <v>400</v>
      </c>
      <c r="L62" s="25" t="s">
        <v>401</v>
      </c>
    </row>
    <row r="63" spans="1:12" ht="31.5">
      <c r="A63" s="23">
        <v>58</v>
      </c>
      <c r="B63" s="23" t="s">
        <v>402</v>
      </c>
      <c r="C63" s="24" t="s">
        <v>403</v>
      </c>
      <c r="D63" s="24" t="s">
        <v>129</v>
      </c>
      <c r="E63" s="24" t="s">
        <v>130</v>
      </c>
      <c r="F63" s="24" t="s">
        <v>404</v>
      </c>
      <c r="G63" s="24" t="s">
        <v>31</v>
      </c>
      <c r="H63" s="24" t="s">
        <v>32</v>
      </c>
      <c r="I63" s="23" t="s">
        <v>405</v>
      </c>
      <c r="J63" s="24" t="s">
        <v>34</v>
      </c>
      <c r="K63" s="24" t="s">
        <v>406</v>
      </c>
      <c r="L63" s="25" t="s">
        <v>407</v>
      </c>
    </row>
  </sheetData>
  <mergeCells count="3">
    <mergeCell ref="A1:K1"/>
    <mergeCell ref="A2:K2"/>
    <mergeCell ref="A3:K3"/>
  </mergeCells>
  <conditionalFormatting sqref="J6:J63">
    <cfRule type="containsText" dxfId="18" priority="1" operator="containsText" text="Bloqueado"/>
    <cfRule type="containsText" dxfId="17" priority="2" operator="containsText" text="Revisar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showGridLines="0" workbookViewId="0"/>
  </sheetViews>
  <sheetFormatPr baseColWidth="10" defaultColWidth="9" defaultRowHeight="14.25"/>
  <cols>
    <col min="1" max="1" width="18" customWidth="1"/>
    <col min="2" max="2" width="14" customWidth="1"/>
    <col min="3" max="3" width="12" customWidth="1"/>
    <col min="4" max="4" width="32" customWidth="1"/>
    <col min="5" max="5" width="40" customWidth="1"/>
    <col min="6" max="6" width="58" customWidth="1"/>
    <col min="7" max="7" width="45" customWidth="1"/>
    <col min="8" max="8" width="23" customWidth="1"/>
    <col min="9" max="9" width="35" customWidth="1"/>
  </cols>
  <sheetData>
    <row r="1" spans="1:9" ht="30" customHeight="1">
      <c r="A1" s="17" t="s">
        <v>408</v>
      </c>
      <c r="B1" s="17"/>
      <c r="C1" s="17"/>
      <c r="D1" s="17"/>
      <c r="E1" s="17"/>
      <c r="F1" s="17"/>
      <c r="G1" s="17"/>
      <c r="H1" s="17"/>
      <c r="I1" s="17"/>
    </row>
    <row r="2" spans="1:9" ht="33.950000000000003" customHeight="1">
      <c r="A2" s="18" t="s">
        <v>409</v>
      </c>
      <c r="B2" s="18"/>
      <c r="C2" s="18"/>
      <c r="D2" s="18"/>
      <c r="E2" s="18"/>
      <c r="F2" s="18"/>
      <c r="G2" s="18"/>
      <c r="H2" s="18"/>
      <c r="I2" s="18"/>
    </row>
    <row r="4" spans="1:9" ht="33.950000000000003" customHeight="1">
      <c r="A4" s="1" t="s">
        <v>11</v>
      </c>
      <c r="B4" s="1" t="s">
        <v>4</v>
      </c>
      <c r="C4" s="1" t="s">
        <v>410</v>
      </c>
      <c r="D4" s="1" t="s">
        <v>411</v>
      </c>
      <c r="E4" s="1" t="s">
        <v>412</v>
      </c>
      <c r="F4" s="1" t="s">
        <v>413</v>
      </c>
      <c r="G4" s="1" t="s">
        <v>414</v>
      </c>
      <c r="H4" s="1" t="s">
        <v>415</v>
      </c>
      <c r="I4" s="1" t="s">
        <v>416</v>
      </c>
    </row>
    <row r="5" spans="1:9" ht="81.95" customHeight="1">
      <c r="A5" s="8" t="s">
        <v>22</v>
      </c>
      <c r="B5" s="9" t="s">
        <v>15</v>
      </c>
      <c r="C5" s="9">
        <v>1</v>
      </c>
      <c r="D5" s="2" t="s">
        <v>417</v>
      </c>
      <c r="E5" s="2" t="s">
        <v>418</v>
      </c>
      <c r="F5" s="2" t="s">
        <v>419</v>
      </c>
      <c r="G5" s="2" t="s">
        <v>420</v>
      </c>
      <c r="H5" s="2" t="s">
        <v>421</v>
      </c>
      <c r="I5" s="3" t="s">
        <v>422</v>
      </c>
    </row>
    <row r="6" spans="1:9" ht="81.95" customHeight="1">
      <c r="A6" s="10" t="s">
        <v>33</v>
      </c>
      <c r="B6" s="11" t="s">
        <v>26</v>
      </c>
      <c r="C6" s="11">
        <v>2</v>
      </c>
      <c r="D6" s="4" t="s">
        <v>423</v>
      </c>
      <c r="E6" s="4" t="s">
        <v>418</v>
      </c>
      <c r="F6" s="4" t="s">
        <v>424</v>
      </c>
      <c r="G6" s="4" t="s">
        <v>425</v>
      </c>
      <c r="H6" s="4" t="s">
        <v>421</v>
      </c>
      <c r="I6" s="5" t="s">
        <v>422</v>
      </c>
    </row>
    <row r="7" spans="1:9" ht="81.95" customHeight="1">
      <c r="A7" s="10" t="s">
        <v>40</v>
      </c>
      <c r="B7" s="11" t="s">
        <v>37</v>
      </c>
      <c r="C7" s="11">
        <v>3</v>
      </c>
      <c r="D7" s="4" t="s">
        <v>426</v>
      </c>
      <c r="E7" s="4" t="s">
        <v>418</v>
      </c>
      <c r="F7" s="4" t="s">
        <v>427</v>
      </c>
      <c r="G7" s="4" t="s">
        <v>428</v>
      </c>
      <c r="H7" s="4" t="s">
        <v>421</v>
      </c>
      <c r="I7" s="5" t="s">
        <v>422</v>
      </c>
    </row>
    <row r="8" spans="1:9" ht="81.95" customHeight="1">
      <c r="A8" s="10" t="s">
        <v>48</v>
      </c>
      <c r="B8" s="11" t="s">
        <v>44</v>
      </c>
      <c r="C8" s="11">
        <v>4</v>
      </c>
      <c r="D8" s="4" t="s">
        <v>429</v>
      </c>
      <c r="E8" s="4" t="s">
        <v>418</v>
      </c>
      <c r="F8" s="4" t="s">
        <v>430</v>
      </c>
      <c r="G8" s="4" t="s">
        <v>431</v>
      </c>
      <c r="H8" s="4" t="s">
        <v>421</v>
      </c>
      <c r="I8" s="5" t="s">
        <v>422</v>
      </c>
    </row>
    <row r="9" spans="1:9" ht="81.95" customHeight="1">
      <c r="A9" s="10" t="s">
        <v>53</v>
      </c>
      <c r="B9" s="11" t="s">
        <v>51</v>
      </c>
      <c r="C9" s="11">
        <v>5</v>
      </c>
      <c r="D9" s="4" t="s">
        <v>432</v>
      </c>
      <c r="E9" s="4" t="s">
        <v>418</v>
      </c>
      <c r="F9" s="4" t="s">
        <v>427</v>
      </c>
      <c r="G9" s="4" t="s">
        <v>433</v>
      </c>
      <c r="H9" s="4" t="s">
        <v>421</v>
      </c>
      <c r="I9" s="5" t="s">
        <v>422</v>
      </c>
    </row>
    <row r="10" spans="1:9" ht="81.95" customHeight="1">
      <c r="A10" s="10" t="s">
        <v>60</v>
      </c>
      <c r="B10" s="11" t="s">
        <v>56</v>
      </c>
      <c r="C10" s="11">
        <v>6</v>
      </c>
      <c r="D10" s="4" t="s">
        <v>434</v>
      </c>
      <c r="E10" s="4" t="s">
        <v>418</v>
      </c>
      <c r="F10" s="4" t="s">
        <v>435</v>
      </c>
      <c r="G10" s="4" t="s">
        <v>436</v>
      </c>
      <c r="H10" s="4" t="s">
        <v>421</v>
      </c>
      <c r="I10" s="5" t="s">
        <v>422</v>
      </c>
    </row>
    <row r="11" spans="1:9" ht="81.95" customHeight="1">
      <c r="A11" s="10" t="s">
        <v>68</v>
      </c>
      <c r="B11" s="11" t="s">
        <v>63</v>
      </c>
      <c r="C11" s="11">
        <v>7</v>
      </c>
      <c r="D11" s="4" t="s">
        <v>437</v>
      </c>
      <c r="E11" s="4" t="s">
        <v>418</v>
      </c>
      <c r="F11" s="4" t="s">
        <v>438</v>
      </c>
      <c r="G11" s="4" t="s">
        <v>439</v>
      </c>
      <c r="H11" s="4" t="s">
        <v>421</v>
      </c>
      <c r="I11" s="5" t="s">
        <v>422</v>
      </c>
    </row>
    <row r="12" spans="1:9" ht="81.95" customHeight="1">
      <c r="A12" s="10" t="s">
        <v>73</v>
      </c>
      <c r="B12" s="11" t="s">
        <v>71</v>
      </c>
      <c r="C12" s="11">
        <v>8</v>
      </c>
      <c r="D12" s="4" t="s">
        <v>440</v>
      </c>
      <c r="E12" s="4" t="s">
        <v>418</v>
      </c>
      <c r="F12" s="4" t="s">
        <v>438</v>
      </c>
      <c r="G12" s="4" t="s">
        <v>441</v>
      </c>
      <c r="H12" s="4" t="s">
        <v>421</v>
      </c>
      <c r="I12" s="5" t="s">
        <v>422</v>
      </c>
    </row>
    <row r="13" spans="1:9" ht="81.95" customHeight="1">
      <c r="A13" s="10" t="s">
        <v>82</v>
      </c>
      <c r="B13" s="11" t="s">
        <v>76</v>
      </c>
      <c r="C13" s="11">
        <v>9</v>
      </c>
      <c r="D13" s="4" t="s">
        <v>442</v>
      </c>
      <c r="E13" s="4" t="s">
        <v>418</v>
      </c>
      <c r="F13" s="4" t="s">
        <v>443</v>
      </c>
      <c r="G13" s="4" t="s">
        <v>444</v>
      </c>
      <c r="H13" s="4" t="s">
        <v>421</v>
      </c>
      <c r="I13" s="5" t="s">
        <v>422</v>
      </c>
    </row>
    <row r="14" spans="1:9" ht="81.95" customHeight="1">
      <c r="A14" s="10" t="s">
        <v>89</v>
      </c>
      <c r="B14" s="11" t="s">
        <v>85</v>
      </c>
      <c r="C14" s="11">
        <v>10</v>
      </c>
      <c r="D14" s="4" t="s">
        <v>445</v>
      </c>
      <c r="E14" s="4" t="s">
        <v>418</v>
      </c>
      <c r="F14" s="4" t="s">
        <v>446</v>
      </c>
      <c r="G14" s="4" t="s">
        <v>447</v>
      </c>
      <c r="H14" s="4" t="s">
        <v>421</v>
      </c>
      <c r="I14" s="5" t="s">
        <v>422</v>
      </c>
    </row>
    <row r="15" spans="1:9" ht="81.95" customHeight="1">
      <c r="A15" s="10" t="s">
        <v>95</v>
      </c>
      <c r="B15" s="11" t="s">
        <v>92</v>
      </c>
      <c r="C15" s="11">
        <v>11</v>
      </c>
      <c r="D15" s="4" t="s">
        <v>448</v>
      </c>
      <c r="E15" s="4" t="s">
        <v>418</v>
      </c>
      <c r="F15" s="4" t="s">
        <v>449</v>
      </c>
      <c r="G15" s="4" t="s">
        <v>450</v>
      </c>
      <c r="H15" s="4" t="s">
        <v>421</v>
      </c>
      <c r="I15" s="5" t="s">
        <v>422</v>
      </c>
    </row>
    <row r="16" spans="1:9" ht="81.95" customHeight="1">
      <c r="A16" s="10" t="s">
        <v>103</v>
      </c>
      <c r="B16" s="11" t="s">
        <v>98</v>
      </c>
      <c r="C16" s="11">
        <v>12</v>
      </c>
      <c r="D16" s="4" t="s">
        <v>451</v>
      </c>
      <c r="E16" s="4" t="s">
        <v>418</v>
      </c>
      <c r="F16" s="4" t="s">
        <v>452</v>
      </c>
      <c r="G16" s="4" t="s">
        <v>453</v>
      </c>
      <c r="H16" s="4" t="s">
        <v>421</v>
      </c>
      <c r="I16" s="5" t="s">
        <v>422</v>
      </c>
    </row>
    <row r="17" spans="1:9" ht="81.95" customHeight="1">
      <c r="A17" s="10" t="s">
        <v>110</v>
      </c>
      <c r="B17" s="11" t="s">
        <v>106</v>
      </c>
      <c r="C17" s="11">
        <v>13</v>
      </c>
      <c r="D17" s="4" t="s">
        <v>454</v>
      </c>
      <c r="E17" s="4" t="s">
        <v>418</v>
      </c>
      <c r="F17" s="4" t="s">
        <v>424</v>
      </c>
      <c r="G17" s="4" t="s">
        <v>455</v>
      </c>
      <c r="H17" s="4" t="s">
        <v>421</v>
      </c>
      <c r="I17" s="5" t="s">
        <v>422</v>
      </c>
    </row>
    <row r="18" spans="1:9" ht="81.95" customHeight="1">
      <c r="A18" s="10" t="s">
        <v>115</v>
      </c>
      <c r="B18" s="11" t="s">
        <v>113</v>
      </c>
      <c r="C18" s="11">
        <v>14</v>
      </c>
      <c r="D18" s="4" t="s">
        <v>456</v>
      </c>
      <c r="E18" s="4" t="s">
        <v>418</v>
      </c>
      <c r="F18" s="4" t="s">
        <v>457</v>
      </c>
      <c r="G18" s="4" t="s">
        <v>458</v>
      </c>
      <c r="H18" s="4" t="s">
        <v>421</v>
      </c>
      <c r="I18" s="5" t="s">
        <v>422</v>
      </c>
    </row>
    <row r="19" spans="1:9" ht="81.95" customHeight="1">
      <c r="A19" s="10" t="s">
        <v>125</v>
      </c>
      <c r="B19" s="11" t="s">
        <v>118</v>
      </c>
      <c r="C19" s="11">
        <v>15</v>
      </c>
      <c r="D19" s="4" t="s">
        <v>459</v>
      </c>
      <c r="E19" s="4" t="s">
        <v>418</v>
      </c>
      <c r="F19" s="4" t="s">
        <v>460</v>
      </c>
      <c r="G19" s="4" t="s">
        <v>461</v>
      </c>
      <c r="H19" s="4" t="s">
        <v>421</v>
      </c>
      <c r="I19" s="5" t="s">
        <v>422</v>
      </c>
    </row>
    <row r="20" spans="1:9" ht="81.95" customHeight="1">
      <c r="A20" s="10" t="s">
        <v>132</v>
      </c>
      <c r="B20" s="11" t="s">
        <v>128</v>
      </c>
      <c r="C20" s="11">
        <v>16</v>
      </c>
      <c r="D20" s="4" t="s">
        <v>462</v>
      </c>
      <c r="E20" s="4" t="s">
        <v>418</v>
      </c>
      <c r="F20" s="4" t="s">
        <v>463</v>
      </c>
      <c r="G20" s="4" t="s">
        <v>464</v>
      </c>
      <c r="H20" s="4" t="s">
        <v>421</v>
      </c>
      <c r="I20" s="5" t="s">
        <v>422</v>
      </c>
    </row>
    <row r="21" spans="1:9" ht="81.95" customHeight="1">
      <c r="A21" s="10" t="s">
        <v>138</v>
      </c>
      <c r="B21" s="11" t="s">
        <v>135</v>
      </c>
      <c r="C21" s="11">
        <v>17</v>
      </c>
      <c r="D21" s="4" t="s">
        <v>465</v>
      </c>
      <c r="E21" s="4" t="s">
        <v>418</v>
      </c>
      <c r="F21" s="4" t="s">
        <v>466</v>
      </c>
      <c r="G21" s="4" t="s">
        <v>467</v>
      </c>
      <c r="H21" s="4" t="s">
        <v>421</v>
      </c>
      <c r="I21" s="5" t="s">
        <v>422</v>
      </c>
    </row>
    <row r="22" spans="1:9" ht="81.95" customHeight="1">
      <c r="A22" s="10" t="s">
        <v>144</v>
      </c>
      <c r="B22" s="11" t="s">
        <v>141</v>
      </c>
      <c r="C22" s="11">
        <v>18</v>
      </c>
      <c r="D22" s="4" t="s">
        <v>468</v>
      </c>
      <c r="E22" s="4" t="s">
        <v>418</v>
      </c>
      <c r="F22" s="4" t="s">
        <v>469</v>
      </c>
      <c r="G22" s="4" t="s">
        <v>470</v>
      </c>
      <c r="H22" s="4" t="s">
        <v>421</v>
      </c>
      <c r="I22" s="5" t="s">
        <v>422</v>
      </c>
    </row>
    <row r="23" spans="1:9" ht="81.95" customHeight="1">
      <c r="A23" s="10" t="s">
        <v>149</v>
      </c>
      <c r="B23" s="11" t="s">
        <v>147</v>
      </c>
      <c r="C23" s="11">
        <v>19</v>
      </c>
      <c r="D23" s="4" t="s">
        <v>471</v>
      </c>
      <c r="E23" s="4" t="s">
        <v>418</v>
      </c>
      <c r="F23" s="4" t="s">
        <v>469</v>
      </c>
      <c r="G23" s="4" t="s">
        <v>472</v>
      </c>
      <c r="H23" s="4" t="s">
        <v>421</v>
      </c>
      <c r="I23" s="5" t="s">
        <v>422</v>
      </c>
    </row>
    <row r="24" spans="1:9" ht="81.95" customHeight="1">
      <c r="A24" s="10" t="s">
        <v>153</v>
      </c>
      <c r="B24" s="11" t="s">
        <v>152</v>
      </c>
      <c r="C24" s="11">
        <v>20</v>
      </c>
      <c r="D24" s="4" t="s">
        <v>473</v>
      </c>
      <c r="E24" s="4" t="s">
        <v>418</v>
      </c>
      <c r="F24" s="4" t="s">
        <v>469</v>
      </c>
      <c r="G24" s="4" t="s">
        <v>474</v>
      </c>
      <c r="H24" s="4" t="s">
        <v>421</v>
      </c>
      <c r="I24" s="5" t="s">
        <v>422</v>
      </c>
    </row>
    <row r="25" spans="1:9" ht="81.95" customHeight="1">
      <c r="A25" s="10" t="s">
        <v>162</v>
      </c>
      <c r="B25" s="11" t="s">
        <v>156</v>
      </c>
      <c r="C25" s="11">
        <v>21</v>
      </c>
      <c r="D25" s="4" t="s">
        <v>475</v>
      </c>
      <c r="E25" s="4" t="s">
        <v>418</v>
      </c>
      <c r="F25" s="4" t="s">
        <v>476</v>
      </c>
      <c r="G25" s="4" t="s">
        <v>477</v>
      </c>
      <c r="H25" s="4" t="s">
        <v>421</v>
      </c>
      <c r="I25" s="5" t="s">
        <v>422</v>
      </c>
    </row>
    <row r="26" spans="1:9" ht="81.95" customHeight="1">
      <c r="A26" s="10" t="s">
        <v>169</v>
      </c>
      <c r="B26" s="11" t="s">
        <v>165</v>
      </c>
      <c r="C26" s="11">
        <v>22</v>
      </c>
      <c r="D26" s="4" t="s">
        <v>478</v>
      </c>
      <c r="E26" s="4" t="s">
        <v>418</v>
      </c>
      <c r="F26" s="4" t="s">
        <v>479</v>
      </c>
      <c r="G26" s="4" t="s">
        <v>480</v>
      </c>
      <c r="H26" s="4" t="s">
        <v>421</v>
      </c>
      <c r="I26" s="5" t="s">
        <v>422</v>
      </c>
    </row>
    <row r="27" spans="1:9" ht="81.95" customHeight="1">
      <c r="A27" s="10" t="s">
        <v>173</v>
      </c>
      <c r="B27" s="11" t="s">
        <v>172</v>
      </c>
      <c r="C27" s="11">
        <v>23</v>
      </c>
      <c r="D27" s="4" t="s">
        <v>481</v>
      </c>
      <c r="E27" s="4" t="s">
        <v>418</v>
      </c>
      <c r="F27" s="4" t="s">
        <v>479</v>
      </c>
      <c r="G27" s="4" t="s">
        <v>482</v>
      </c>
      <c r="H27" s="4" t="s">
        <v>421</v>
      </c>
      <c r="I27" s="5" t="s">
        <v>422</v>
      </c>
    </row>
    <row r="28" spans="1:9" ht="81.95" customHeight="1">
      <c r="A28" s="10" t="s">
        <v>179</v>
      </c>
      <c r="B28" s="11" t="s">
        <v>176</v>
      </c>
      <c r="C28" s="11">
        <v>24</v>
      </c>
      <c r="D28" s="4" t="s">
        <v>483</v>
      </c>
      <c r="E28" s="4" t="s">
        <v>418</v>
      </c>
      <c r="F28" s="4" t="s">
        <v>484</v>
      </c>
      <c r="G28" s="4" t="s">
        <v>485</v>
      </c>
      <c r="H28" s="4" t="s">
        <v>421</v>
      </c>
      <c r="I28" s="5" t="s">
        <v>422</v>
      </c>
    </row>
    <row r="29" spans="1:9" ht="81.95" customHeight="1">
      <c r="A29" s="10" t="s">
        <v>183</v>
      </c>
      <c r="B29" s="11" t="s">
        <v>182</v>
      </c>
      <c r="C29" s="11">
        <v>25</v>
      </c>
      <c r="D29" s="4" t="s">
        <v>486</v>
      </c>
      <c r="E29" s="4" t="s">
        <v>418</v>
      </c>
      <c r="F29" s="4" t="s">
        <v>484</v>
      </c>
      <c r="G29" s="4" t="s">
        <v>487</v>
      </c>
      <c r="H29" s="4" t="s">
        <v>421</v>
      </c>
      <c r="I29" s="5" t="s">
        <v>422</v>
      </c>
    </row>
    <row r="30" spans="1:9" ht="81.95" customHeight="1">
      <c r="A30" s="10" t="s">
        <v>190</v>
      </c>
      <c r="B30" s="11" t="s">
        <v>186</v>
      </c>
      <c r="C30" s="11">
        <v>26</v>
      </c>
      <c r="D30" s="4" t="s">
        <v>488</v>
      </c>
      <c r="E30" s="4" t="s">
        <v>418</v>
      </c>
      <c r="F30" s="4" t="s">
        <v>489</v>
      </c>
      <c r="G30" s="4" t="s">
        <v>490</v>
      </c>
      <c r="H30" s="4" t="s">
        <v>421</v>
      </c>
      <c r="I30" s="5" t="s">
        <v>422</v>
      </c>
    </row>
    <row r="31" spans="1:9" ht="81.95" customHeight="1">
      <c r="A31" s="10" t="s">
        <v>196</v>
      </c>
      <c r="B31" s="11" t="s">
        <v>193</v>
      </c>
      <c r="C31" s="11">
        <v>27</v>
      </c>
      <c r="D31" s="4" t="s">
        <v>491</v>
      </c>
      <c r="E31" s="4" t="s">
        <v>418</v>
      </c>
      <c r="F31" s="4" t="s">
        <v>492</v>
      </c>
      <c r="G31" s="4" t="s">
        <v>493</v>
      </c>
      <c r="H31" s="4" t="s">
        <v>421</v>
      </c>
      <c r="I31" s="5" t="s">
        <v>422</v>
      </c>
    </row>
    <row r="32" spans="1:9" ht="81.95" customHeight="1">
      <c r="A32" s="10" t="s">
        <v>201</v>
      </c>
      <c r="B32" s="11" t="s">
        <v>199</v>
      </c>
      <c r="C32" s="11">
        <v>28</v>
      </c>
      <c r="D32" s="4" t="s">
        <v>494</v>
      </c>
      <c r="E32" s="4" t="s">
        <v>418</v>
      </c>
      <c r="F32" s="4" t="s">
        <v>492</v>
      </c>
      <c r="G32" s="4" t="s">
        <v>495</v>
      </c>
      <c r="H32" s="4" t="s">
        <v>421</v>
      </c>
      <c r="I32" s="5" t="s">
        <v>422</v>
      </c>
    </row>
    <row r="33" spans="1:9" ht="81.95" customHeight="1">
      <c r="A33" s="10" t="s">
        <v>206</v>
      </c>
      <c r="B33" s="11" t="s">
        <v>204</v>
      </c>
      <c r="C33" s="11">
        <v>29</v>
      </c>
      <c r="D33" s="4" t="s">
        <v>496</v>
      </c>
      <c r="E33" s="4" t="s">
        <v>418</v>
      </c>
      <c r="F33" s="4" t="s">
        <v>497</v>
      </c>
      <c r="G33" s="4" t="s">
        <v>498</v>
      </c>
      <c r="H33" s="4" t="s">
        <v>421</v>
      </c>
      <c r="I33" s="5" t="s">
        <v>422</v>
      </c>
    </row>
    <row r="34" spans="1:9" ht="81.95" customHeight="1">
      <c r="A34" s="10" t="s">
        <v>213</v>
      </c>
      <c r="B34" s="11" t="s">
        <v>209</v>
      </c>
      <c r="C34" s="11">
        <v>30</v>
      </c>
      <c r="D34" s="4" t="s">
        <v>499</v>
      </c>
      <c r="E34" s="4" t="s">
        <v>418</v>
      </c>
      <c r="F34" s="4" t="s">
        <v>500</v>
      </c>
      <c r="G34" s="4" t="s">
        <v>501</v>
      </c>
      <c r="H34" s="4" t="s">
        <v>421</v>
      </c>
      <c r="I34" s="5" t="s">
        <v>422</v>
      </c>
    </row>
    <row r="35" spans="1:9" ht="81.95" customHeight="1">
      <c r="A35" s="10" t="s">
        <v>217</v>
      </c>
      <c r="B35" s="11" t="s">
        <v>216</v>
      </c>
      <c r="C35" s="11">
        <v>31</v>
      </c>
      <c r="D35" s="4" t="s">
        <v>502</v>
      </c>
      <c r="E35" s="4" t="s">
        <v>418</v>
      </c>
      <c r="F35" s="4" t="s">
        <v>460</v>
      </c>
      <c r="G35" s="4" t="s">
        <v>503</v>
      </c>
      <c r="H35" s="4" t="s">
        <v>421</v>
      </c>
      <c r="I35" s="5" t="s">
        <v>422</v>
      </c>
    </row>
    <row r="36" spans="1:9" ht="81.95" customHeight="1">
      <c r="A36" s="10" t="s">
        <v>223</v>
      </c>
      <c r="B36" s="11" t="s">
        <v>220</v>
      </c>
      <c r="C36" s="11">
        <v>32</v>
      </c>
      <c r="D36" s="4" t="s">
        <v>504</v>
      </c>
      <c r="E36" s="4" t="s">
        <v>418</v>
      </c>
      <c r="F36" s="4" t="s">
        <v>505</v>
      </c>
      <c r="G36" s="4" t="s">
        <v>506</v>
      </c>
      <c r="H36" s="4" t="s">
        <v>421</v>
      </c>
      <c r="I36" s="5" t="s">
        <v>422</v>
      </c>
    </row>
    <row r="37" spans="1:9" ht="81.95" customHeight="1">
      <c r="A37" s="10" t="s">
        <v>229</v>
      </c>
      <c r="B37" s="11" t="s">
        <v>226</v>
      </c>
      <c r="C37" s="11">
        <v>33</v>
      </c>
      <c r="D37" s="4" t="s">
        <v>507</v>
      </c>
      <c r="E37" s="4" t="s">
        <v>418</v>
      </c>
      <c r="F37" s="4" t="s">
        <v>508</v>
      </c>
      <c r="G37" s="4" t="s">
        <v>509</v>
      </c>
      <c r="H37" s="4" t="s">
        <v>421</v>
      </c>
      <c r="I37" s="5" t="s">
        <v>422</v>
      </c>
    </row>
    <row r="38" spans="1:9" ht="81.95" customHeight="1">
      <c r="A38" s="10" t="s">
        <v>234</v>
      </c>
      <c r="B38" s="11" t="s">
        <v>232</v>
      </c>
      <c r="C38" s="11">
        <v>34</v>
      </c>
      <c r="D38" s="4" t="s">
        <v>510</v>
      </c>
      <c r="E38" s="4" t="s">
        <v>418</v>
      </c>
      <c r="F38" s="4" t="s">
        <v>508</v>
      </c>
      <c r="G38" s="4" t="s">
        <v>511</v>
      </c>
      <c r="H38" s="4" t="s">
        <v>421</v>
      </c>
      <c r="I38" s="5" t="s">
        <v>422</v>
      </c>
    </row>
    <row r="39" spans="1:9" ht="81.95" customHeight="1">
      <c r="A39" s="10" t="s">
        <v>240</v>
      </c>
      <c r="B39" s="11" t="s">
        <v>237</v>
      </c>
      <c r="C39" s="11">
        <v>35</v>
      </c>
      <c r="D39" s="4" t="s">
        <v>512</v>
      </c>
      <c r="E39" s="4" t="s">
        <v>418</v>
      </c>
      <c r="F39" s="4" t="s">
        <v>513</v>
      </c>
      <c r="G39" s="4" t="s">
        <v>514</v>
      </c>
      <c r="H39" s="4" t="s">
        <v>421</v>
      </c>
      <c r="I39" s="5" t="s">
        <v>422</v>
      </c>
    </row>
    <row r="40" spans="1:9" ht="81.95" customHeight="1">
      <c r="A40" s="10" t="s">
        <v>246</v>
      </c>
      <c r="B40" s="11" t="s">
        <v>243</v>
      </c>
      <c r="C40" s="11">
        <v>36</v>
      </c>
      <c r="D40" s="4" t="s">
        <v>515</v>
      </c>
      <c r="E40" s="4" t="s">
        <v>418</v>
      </c>
      <c r="F40" s="4" t="s">
        <v>424</v>
      </c>
      <c r="G40" s="4" t="s">
        <v>516</v>
      </c>
      <c r="H40" s="4" t="s">
        <v>421</v>
      </c>
      <c r="I40" s="5" t="s">
        <v>422</v>
      </c>
    </row>
    <row r="41" spans="1:9" ht="81.95" customHeight="1">
      <c r="A41" s="10" t="s">
        <v>253</v>
      </c>
      <c r="B41" s="11" t="s">
        <v>249</v>
      </c>
      <c r="C41" s="11">
        <v>37</v>
      </c>
      <c r="D41" s="4" t="s">
        <v>517</v>
      </c>
      <c r="E41" s="4" t="s">
        <v>418</v>
      </c>
      <c r="F41" s="4" t="s">
        <v>518</v>
      </c>
      <c r="G41" s="4" t="s">
        <v>519</v>
      </c>
      <c r="H41" s="4" t="s">
        <v>421</v>
      </c>
      <c r="I41" s="5" t="s">
        <v>422</v>
      </c>
    </row>
    <row r="42" spans="1:9" ht="81.95" customHeight="1">
      <c r="A42" s="10" t="s">
        <v>258</v>
      </c>
      <c r="B42" s="11" t="s">
        <v>256</v>
      </c>
      <c r="C42" s="11">
        <v>38</v>
      </c>
      <c r="D42" s="4" t="s">
        <v>520</v>
      </c>
      <c r="E42" s="4" t="s">
        <v>418</v>
      </c>
      <c r="F42" s="4" t="s">
        <v>492</v>
      </c>
      <c r="G42" s="4" t="s">
        <v>521</v>
      </c>
      <c r="H42" s="4" t="s">
        <v>421</v>
      </c>
      <c r="I42" s="5" t="s">
        <v>422</v>
      </c>
    </row>
    <row r="43" spans="1:9" ht="81.95" customHeight="1">
      <c r="A43" s="10" t="s">
        <v>265</v>
      </c>
      <c r="B43" s="11" t="s">
        <v>261</v>
      </c>
      <c r="C43" s="11">
        <v>39</v>
      </c>
      <c r="D43" s="4" t="s">
        <v>522</v>
      </c>
      <c r="E43" s="4" t="s">
        <v>418</v>
      </c>
      <c r="F43" s="4" t="s">
        <v>523</v>
      </c>
      <c r="G43" s="4" t="s">
        <v>524</v>
      </c>
      <c r="H43" s="4" t="s">
        <v>421</v>
      </c>
      <c r="I43" s="5" t="s">
        <v>422</v>
      </c>
    </row>
    <row r="44" spans="1:9" ht="81.95" customHeight="1">
      <c r="A44" s="10" t="s">
        <v>274</v>
      </c>
      <c r="B44" s="11" t="s">
        <v>268</v>
      </c>
      <c r="C44" s="11">
        <v>40</v>
      </c>
      <c r="D44" s="4" t="s">
        <v>525</v>
      </c>
      <c r="E44" s="4" t="s">
        <v>418</v>
      </c>
      <c r="F44" s="4" t="s">
        <v>526</v>
      </c>
      <c r="G44" s="4" t="s">
        <v>527</v>
      </c>
      <c r="H44" s="4" t="s">
        <v>421</v>
      </c>
      <c r="I44" s="5" t="s">
        <v>422</v>
      </c>
    </row>
    <row r="45" spans="1:9" ht="81.95" customHeight="1">
      <c r="A45" s="10" t="s">
        <v>280</v>
      </c>
      <c r="B45" s="11" t="s">
        <v>277</v>
      </c>
      <c r="C45" s="11">
        <v>41</v>
      </c>
      <c r="D45" s="4" t="s">
        <v>528</v>
      </c>
      <c r="E45" s="4" t="s">
        <v>418</v>
      </c>
      <c r="F45" s="4" t="s">
        <v>529</v>
      </c>
      <c r="G45" s="4" t="s">
        <v>530</v>
      </c>
      <c r="H45" s="4" t="s">
        <v>421</v>
      </c>
      <c r="I45" s="5" t="s">
        <v>422</v>
      </c>
    </row>
    <row r="46" spans="1:9" ht="81.95" customHeight="1">
      <c r="A46" s="10" t="s">
        <v>290</v>
      </c>
      <c r="B46" s="11" t="s">
        <v>283</v>
      </c>
      <c r="C46" s="11">
        <v>42</v>
      </c>
      <c r="D46" s="4" t="s">
        <v>531</v>
      </c>
      <c r="E46" s="4" t="s">
        <v>418</v>
      </c>
      <c r="F46" s="4" t="s">
        <v>532</v>
      </c>
      <c r="G46" s="4" t="s">
        <v>533</v>
      </c>
      <c r="H46" s="4" t="s">
        <v>421</v>
      </c>
      <c r="I46" s="5" t="s">
        <v>422</v>
      </c>
    </row>
    <row r="47" spans="1:9" ht="81.95" customHeight="1">
      <c r="A47" s="10" t="s">
        <v>299</v>
      </c>
      <c r="B47" s="11" t="s">
        <v>293</v>
      </c>
      <c r="C47" s="11">
        <v>43</v>
      </c>
      <c r="D47" s="4" t="s">
        <v>534</v>
      </c>
      <c r="E47" s="4" t="s">
        <v>418</v>
      </c>
      <c r="F47" s="4" t="s">
        <v>535</v>
      </c>
      <c r="G47" s="4" t="s">
        <v>536</v>
      </c>
      <c r="H47" s="4" t="s">
        <v>421</v>
      </c>
      <c r="I47" s="5" t="s">
        <v>422</v>
      </c>
    </row>
    <row r="48" spans="1:9" ht="81.95" customHeight="1">
      <c r="A48" s="10" t="s">
        <v>308</v>
      </c>
      <c r="B48" s="11" t="s">
        <v>302</v>
      </c>
      <c r="C48" s="11">
        <v>44</v>
      </c>
      <c r="D48" s="4" t="s">
        <v>537</v>
      </c>
      <c r="E48" s="4" t="s">
        <v>418</v>
      </c>
      <c r="F48" s="4" t="s">
        <v>538</v>
      </c>
      <c r="G48" s="4" t="s">
        <v>539</v>
      </c>
      <c r="H48" s="4" t="s">
        <v>421</v>
      </c>
      <c r="I48" s="5" t="s">
        <v>422</v>
      </c>
    </row>
    <row r="49" spans="1:9" ht="81.95" customHeight="1">
      <c r="A49" s="10" t="s">
        <v>316</v>
      </c>
      <c r="B49" s="11" t="s">
        <v>311</v>
      </c>
      <c r="C49" s="11">
        <v>45</v>
      </c>
      <c r="D49" s="4" t="s">
        <v>540</v>
      </c>
      <c r="E49" s="4" t="s">
        <v>418</v>
      </c>
      <c r="F49" s="4" t="s">
        <v>541</v>
      </c>
      <c r="G49" s="4" t="s">
        <v>542</v>
      </c>
      <c r="H49" s="4" t="s">
        <v>421</v>
      </c>
      <c r="I49" s="5" t="s">
        <v>422</v>
      </c>
    </row>
    <row r="50" spans="1:9" ht="81.95" customHeight="1">
      <c r="A50" s="10" t="s">
        <v>325</v>
      </c>
      <c r="B50" s="11" t="s">
        <v>319</v>
      </c>
      <c r="C50" s="11">
        <v>46</v>
      </c>
      <c r="D50" s="4" t="s">
        <v>543</v>
      </c>
      <c r="E50" s="4" t="s">
        <v>418</v>
      </c>
      <c r="F50" s="4" t="s">
        <v>544</v>
      </c>
      <c r="G50" s="4" t="s">
        <v>545</v>
      </c>
      <c r="H50" s="4" t="s">
        <v>421</v>
      </c>
      <c r="I50" s="5" t="s">
        <v>422</v>
      </c>
    </row>
    <row r="51" spans="1:9" ht="81.95" customHeight="1">
      <c r="A51" s="10" t="s">
        <v>333</v>
      </c>
      <c r="B51" s="11" t="s">
        <v>328</v>
      </c>
      <c r="C51" s="11">
        <v>47</v>
      </c>
      <c r="D51" s="4" t="s">
        <v>546</v>
      </c>
      <c r="E51" s="4" t="s">
        <v>418</v>
      </c>
      <c r="F51" s="4" t="s">
        <v>547</v>
      </c>
      <c r="G51" s="4" t="s">
        <v>548</v>
      </c>
      <c r="H51" s="4" t="s">
        <v>421</v>
      </c>
      <c r="I51" s="5" t="s">
        <v>422</v>
      </c>
    </row>
    <row r="52" spans="1:9" ht="81.95" customHeight="1">
      <c r="A52" s="10" t="s">
        <v>340</v>
      </c>
      <c r="B52" s="11" t="s">
        <v>336</v>
      </c>
      <c r="C52" s="11">
        <v>48</v>
      </c>
      <c r="D52" s="4" t="s">
        <v>549</v>
      </c>
      <c r="E52" s="4" t="s">
        <v>418</v>
      </c>
      <c r="F52" s="4" t="s">
        <v>550</v>
      </c>
      <c r="G52" s="4" t="s">
        <v>551</v>
      </c>
      <c r="H52" s="4" t="s">
        <v>421</v>
      </c>
      <c r="I52" s="5" t="s">
        <v>422</v>
      </c>
    </row>
    <row r="53" spans="1:9" ht="81.95" customHeight="1">
      <c r="A53" s="10" t="s">
        <v>345</v>
      </c>
      <c r="B53" s="11" t="s">
        <v>343</v>
      </c>
      <c r="C53" s="11">
        <v>49</v>
      </c>
      <c r="D53" s="4" t="s">
        <v>552</v>
      </c>
      <c r="E53" s="4" t="s">
        <v>418</v>
      </c>
      <c r="F53" s="4" t="s">
        <v>553</v>
      </c>
      <c r="G53" s="4" t="s">
        <v>554</v>
      </c>
      <c r="H53" s="4" t="s">
        <v>421</v>
      </c>
      <c r="I53" s="5" t="s">
        <v>422</v>
      </c>
    </row>
    <row r="54" spans="1:9" ht="81.95" customHeight="1">
      <c r="A54" s="10" t="s">
        <v>352</v>
      </c>
      <c r="B54" s="11" t="s">
        <v>348</v>
      </c>
      <c r="C54" s="11">
        <v>50</v>
      </c>
      <c r="D54" s="4" t="s">
        <v>555</v>
      </c>
      <c r="E54" s="4" t="s">
        <v>418</v>
      </c>
      <c r="F54" s="4" t="s">
        <v>556</v>
      </c>
      <c r="G54" s="4" t="s">
        <v>557</v>
      </c>
      <c r="H54" s="4" t="s">
        <v>421</v>
      </c>
      <c r="I54" s="5" t="s">
        <v>422</v>
      </c>
    </row>
    <row r="55" spans="1:9" ht="81.95" customHeight="1">
      <c r="A55" s="10" t="s">
        <v>361</v>
      </c>
      <c r="B55" s="11" t="s">
        <v>355</v>
      </c>
      <c r="C55" s="11">
        <v>51</v>
      </c>
      <c r="D55" s="4" t="s">
        <v>558</v>
      </c>
      <c r="E55" s="4" t="s">
        <v>418</v>
      </c>
      <c r="F55" s="4" t="s">
        <v>559</v>
      </c>
      <c r="G55" s="4" t="s">
        <v>560</v>
      </c>
      <c r="H55" s="4" t="s">
        <v>421</v>
      </c>
      <c r="I55" s="5" t="s">
        <v>422</v>
      </c>
    </row>
    <row r="56" spans="1:9" ht="81.95" customHeight="1">
      <c r="A56" s="10" t="s">
        <v>366</v>
      </c>
      <c r="B56" s="11" t="s">
        <v>364</v>
      </c>
      <c r="C56" s="11">
        <v>52</v>
      </c>
      <c r="D56" s="4" t="s">
        <v>561</v>
      </c>
      <c r="E56" s="4" t="s">
        <v>418</v>
      </c>
      <c r="F56" s="4" t="s">
        <v>562</v>
      </c>
      <c r="G56" s="4" t="s">
        <v>563</v>
      </c>
      <c r="H56" s="4" t="s">
        <v>421</v>
      </c>
      <c r="I56" s="5" t="s">
        <v>422</v>
      </c>
    </row>
    <row r="57" spans="1:9" ht="81.95" customHeight="1">
      <c r="A57" s="10" t="s">
        <v>372</v>
      </c>
      <c r="B57" s="11" t="s">
        <v>369</v>
      </c>
      <c r="C57" s="11">
        <v>53</v>
      </c>
      <c r="D57" s="4" t="s">
        <v>564</v>
      </c>
      <c r="E57" s="4" t="s">
        <v>418</v>
      </c>
      <c r="F57" s="4" t="s">
        <v>565</v>
      </c>
      <c r="G57" s="4" t="s">
        <v>566</v>
      </c>
      <c r="H57" s="4" t="s">
        <v>421</v>
      </c>
      <c r="I57" s="5" t="s">
        <v>422</v>
      </c>
    </row>
    <row r="58" spans="1:9" ht="81.95" customHeight="1">
      <c r="A58" s="10" t="s">
        <v>381</v>
      </c>
      <c r="B58" s="11" t="s">
        <v>375</v>
      </c>
      <c r="C58" s="11">
        <v>54</v>
      </c>
      <c r="D58" s="4" t="s">
        <v>567</v>
      </c>
      <c r="E58" s="4" t="s">
        <v>418</v>
      </c>
      <c r="F58" s="4" t="s">
        <v>568</v>
      </c>
      <c r="G58" s="4" t="s">
        <v>569</v>
      </c>
      <c r="H58" s="4" t="s">
        <v>421</v>
      </c>
      <c r="I58" s="5" t="s">
        <v>422</v>
      </c>
    </row>
    <row r="59" spans="1:9" ht="81.95" customHeight="1">
      <c r="A59" s="10" t="s">
        <v>386</v>
      </c>
      <c r="B59" s="11" t="s">
        <v>384</v>
      </c>
      <c r="C59" s="11">
        <v>55</v>
      </c>
      <c r="D59" s="4" t="s">
        <v>570</v>
      </c>
      <c r="E59" s="4" t="s">
        <v>418</v>
      </c>
      <c r="F59" s="4" t="s">
        <v>571</v>
      </c>
      <c r="G59" s="4" t="s">
        <v>572</v>
      </c>
      <c r="H59" s="4" t="s">
        <v>421</v>
      </c>
      <c r="I59" s="5" t="s">
        <v>422</v>
      </c>
    </row>
    <row r="60" spans="1:9" ht="81.95" customHeight="1">
      <c r="A60" s="10" t="s">
        <v>391</v>
      </c>
      <c r="B60" s="11" t="s">
        <v>389</v>
      </c>
      <c r="C60" s="11">
        <v>56</v>
      </c>
      <c r="D60" s="4" t="s">
        <v>573</v>
      </c>
      <c r="E60" s="4" t="s">
        <v>418</v>
      </c>
      <c r="F60" s="4" t="s">
        <v>574</v>
      </c>
      <c r="G60" s="4" t="s">
        <v>575</v>
      </c>
      <c r="H60" s="4" t="s">
        <v>421</v>
      </c>
      <c r="I60" s="5" t="s">
        <v>422</v>
      </c>
    </row>
    <row r="61" spans="1:9" ht="81.95" customHeight="1">
      <c r="A61" s="10" t="s">
        <v>398</v>
      </c>
      <c r="B61" s="11" t="s">
        <v>394</v>
      </c>
      <c r="C61" s="11">
        <v>57</v>
      </c>
      <c r="D61" s="4" t="s">
        <v>576</v>
      </c>
      <c r="E61" s="4" t="s">
        <v>577</v>
      </c>
      <c r="F61" s="4" t="s">
        <v>578</v>
      </c>
      <c r="G61" s="4" t="s">
        <v>579</v>
      </c>
      <c r="H61" s="4" t="s">
        <v>421</v>
      </c>
      <c r="I61" s="5" t="s">
        <v>422</v>
      </c>
    </row>
    <row r="62" spans="1:9" ht="81.95" customHeight="1">
      <c r="A62" s="12" t="s">
        <v>405</v>
      </c>
      <c r="B62" s="13" t="s">
        <v>402</v>
      </c>
      <c r="C62" s="13">
        <v>58</v>
      </c>
      <c r="D62" s="6" t="s">
        <v>580</v>
      </c>
      <c r="E62" s="6" t="s">
        <v>418</v>
      </c>
      <c r="F62" s="6" t="s">
        <v>581</v>
      </c>
      <c r="G62" s="6" t="s">
        <v>582</v>
      </c>
      <c r="H62" s="6" t="s">
        <v>421</v>
      </c>
      <c r="I62" s="7" t="s">
        <v>422</v>
      </c>
    </row>
  </sheetData>
  <mergeCells count="2">
    <mergeCell ref="A1:I1"/>
    <mergeCell ref="A2:I2"/>
  </mergeCells>
  <conditionalFormatting sqref="H5:H62">
    <cfRule type="containsText" dxfId="16" priority="1" operator="containsText" text="Aprobado"/>
    <cfRule type="containsText" dxfId="15" priority="2" operator="containsText" text="Fallido"/>
  </conditionalFormatting>
  <dataValidations count="1">
    <dataValidation type="list" sqref="H5:H62" xr:uid="{00000000-0002-0000-0100-000000000000}">
      <formula1>"Diseñado, no ejecutado,En ejecución,Aprobado,Fallido,Bloqueado"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showGridLines="0" workbookViewId="0"/>
  </sheetViews>
  <sheetFormatPr baseColWidth="10" defaultColWidth="9" defaultRowHeight="14.25"/>
  <cols>
    <col min="1" max="1" width="31" customWidth="1"/>
    <col min="2" max="2" width="35" customWidth="1"/>
    <col min="3" max="3" width="52" customWidth="1"/>
    <col min="4" max="4" width="30" customWidth="1"/>
    <col min="5" max="5" width="20" customWidth="1"/>
  </cols>
  <sheetData>
    <row r="1" spans="1:5" ht="30" customHeight="1">
      <c r="A1" s="17" t="s">
        <v>583</v>
      </c>
      <c r="B1" s="17"/>
      <c r="C1" s="17"/>
      <c r="D1" s="17"/>
      <c r="E1" s="17"/>
    </row>
    <row r="2" spans="1:5" ht="24.95" customHeight="1">
      <c r="A2" s="19" t="s">
        <v>584</v>
      </c>
      <c r="B2" s="19"/>
      <c r="C2" s="19"/>
      <c r="D2" s="19"/>
      <c r="E2" s="19"/>
    </row>
    <row r="4" spans="1:5" ht="33.950000000000003" customHeight="1">
      <c r="A4" s="14" t="s">
        <v>585</v>
      </c>
      <c r="B4" s="14" t="s">
        <v>586</v>
      </c>
      <c r="C4" s="14" t="s">
        <v>8</v>
      </c>
    </row>
    <row r="5" spans="1:5" ht="33.950000000000003" customHeight="1">
      <c r="A5" s="16" t="s">
        <v>587</v>
      </c>
      <c r="B5" s="15">
        <f>COUNTA(Matriz!B6:B63)</f>
        <v>58</v>
      </c>
      <c r="C5" s="15" t="s">
        <v>588</v>
      </c>
    </row>
    <row r="6" spans="1:5" ht="33.950000000000003" customHeight="1">
      <c r="A6" s="16" t="s">
        <v>589</v>
      </c>
      <c r="B6" s="15">
        <f>COUNTA(Matriz!B6:B45)</f>
        <v>40</v>
      </c>
      <c r="C6" s="15" t="s">
        <v>590</v>
      </c>
    </row>
    <row r="7" spans="1:5" ht="33.950000000000003" customHeight="1">
      <c r="A7" s="16" t="s">
        <v>591</v>
      </c>
      <c r="B7" s="15">
        <f>COUNTA(Matriz!B46:B63)</f>
        <v>18</v>
      </c>
      <c r="C7" s="15" t="s">
        <v>592</v>
      </c>
    </row>
    <row r="8" spans="1:5" ht="33.950000000000003" customHeight="1">
      <c r="A8" s="16" t="s">
        <v>593</v>
      </c>
      <c r="B8" s="15">
        <f>COUNTBLANK(Matriz!B6:I63)</f>
        <v>0</v>
      </c>
      <c r="C8" s="15" t="s">
        <v>594</v>
      </c>
    </row>
    <row r="9" spans="1:5" ht="33.950000000000003" customHeight="1">
      <c r="A9" s="16" t="s">
        <v>595</v>
      </c>
      <c r="B9" s="15">
        <f>COUNTA(Catalogo_pruebas!A5:A62)</f>
        <v>58</v>
      </c>
      <c r="C9" s="15" t="s">
        <v>596</v>
      </c>
    </row>
    <row r="10" spans="1:5" ht="33.950000000000003" customHeight="1">
      <c r="A10" s="16" t="s">
        <v>597</v>
      </c>
      <c r="B10" s="15">
        <f>COUNTIF(Catalogo_pruebas!H5:H62,"Aprobado")+COUNTIF(Catalogo_pruebas!H5:H62,"Fallido")</f>
        <v>0</v>
      </c>
      <c r="C10" s="15" t="s">
        <v>598</v>
      </c>
    </row>
    <row r="11" spans="1:5" ht="33.950000000000003" customHeight="1">
      <c r="A11" s="16" t="s">
        <v>599</v>
      </c>
      <c r="B11" s="15">
        <f>COUNTIF(Matriz!J6:J63,"Revisar: RFC-01 por mockup no verificado")</f>
        <v>4</v>
      </c>
      <c r="C11" s="15" t="s">
        <v>600</v>
      </c>
    </row>
    <row r="12" spans="1:5" ht="33.950000000000003" customHeight="1">
      <c r="A12" s="16" t="s">
        <v>601</v>
      </c>
      <c r="B12" s="15">
        <f>COUNTIF(Matriz!J6:J63,"Revisar: RFC-02 por fusión inconsistente")</f>
        <v>11</v>
      </c>
      <c r="C12" s="15" t="s">
        <v>600</v>
      </c>
    </row>
    <row r="13" spans="1:5" ht="33.950000000000003" customHeight="1">
      <c r="A13" s="16" t="s">
        <v>602</v>
      </c>
      <c r="B13" s="15" t="str">
        <f>IF(AND(B5=58,B6=40,B7=18,B8=0,B9=58,B11=0,B12=0,COUNTIF(Matriz!J6:J63,"Bloqueado: requisito no especificado en ERS v3.1")=0),"LISTA PARA LÍNEA BASE","PENDIENTE DE CORRECCIONES")</f>
        <v>PENDIENTE DE CORRECCIONES</v>
      </c>
      <c r="C13" s="15" t="s">
        <v>603</v>
      </c>
    </row>
    <row r="14" spans="1:5" ht="33.950000000000003" customHeight="1"/>
    <row r="15" spans="1:5" ht="33.950000000000003" customHeight="1">
      <c r="A15" s="14" t="s">
        <v>604</v>
      </c>
      <c r="B15" s="14" t="s">
        <v>605</v>
      </c>
      <c r="C15" s="14" t="s">
        <v>606</v>
      </c>
      <c r="D15" s="14" t="s">
        <v>607</v>
      </c>
      <c r="E15" s="14" t="s">
        <v>12</v>
      </c>
    </row>
    <row r="16" spans="1:5" ht="33.950000000000003" customHeight="1">
      <c r="A16" s="15" t="s">
        <v>599</v>
      </c>
      <c r="B16" s="15" t="s">
        <v>608</v>
      </c>
      <c r="C16" s="15" t="s">
        <v>609</v>
      </c>
      <c r="D16" s="15" t="s">
        <v>610</v>
      </c>
      <c r="E16" s="15" t="s">
        <v>611</v>
      </c>
    </row>
    <row r="17" spans="1:5" ht="33.950000000000003" customHeight="1">
      <c r="A17" s="15" t="s">
        <v>612</v>
      </c>
      <c r="B17" s="15" t="s">
        <v>613</v>
      </c>
      <c r="C17" s="15" t="s">
        <v>614</v>
      </c>
      <c r="D17" s="15" t="s">
        <v>615</v>
      </c>
      <c r="E17" s="15" t="s">
        <v>611</v>
      </c>
    </row>
    <row r="18" spans="1:5" ht="33.950000000000003" customHeight="1">
      <c r="A18" s="15" t="s">
        <v>616</v>
      </c>
      <c r="B18" s="15" t="s">
        <v>394</v>
      </c>
      <c r="C18" s="15" t="s">
        <v>617</v>
      </c>
      <c r="D18" s="15" t="s">
        <v>618</v>
      </c>
      <c r="E18" s="15" t="s">
        <v>611</v>
      </c>
    </row>
  </sheetData>
  <mergeCells count="2">
    <mergeCell ref="A1:E1"/>
    <mergeCell ref="A2:E2"/>
  </mergeCells>
  <conditionalFormatting sqref="B13">
    <cfRule type="containsText" dxfId="14" priority="1" operator="containsText" text="LISTA"/>
    <cfRule type="containsText" dxfId="13" priority="2" operator="containsText" text="PENDIENTE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Catalogo_pruebas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TIGASI SAMPEDRO  PAUL ALEXANDER</cp:lastModifiedBy>
  <dcterms:created xsi:type="dcterms:W3CDTF">2026-08-05T06:27:26Z</dcterms:created>
  <dcterms:modified xsi:type="dcterms:W3CDTF">2026-08-05T06:27:50Z</dcterms:modified>
</cp:coreProperties>
</file>