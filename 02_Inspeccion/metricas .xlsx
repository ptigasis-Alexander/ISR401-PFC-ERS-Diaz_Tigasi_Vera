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79145A5-9E02-40F8-9318-4DD9F273689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os" sheetId="1" r:id="rId1"/>
    <sheet name="Metricas" sheetId="2" r:id="rId2"/>
    <sheet name="Graficos" sheetId="3" r:id="rId3"/>
  </sheet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0" i="3" l="1"/>
  <c r="A9" i="3"/>
  <c r="B8" i="3"/>
  <c r="A8" i="3"/>
  <c r="J7" i="3"/>
  <c r="I7" i="3"/>
  <c r="H7" i="3"/>
  <c r="C7" i="3"/>
  <c r="B7" i="3"/>
  <c r="A7" i="3"/>
  <c r="J6" i="3"/>
  <c r="H6" i="3"/>
  <c r="A6" i="3"/>
  <c r="H5" i="3"/>
  <c r="A5" i="3"/>
  <c r="C30" i="2"/>
  <c r="B30" i="2"/>
  <c r="D30" i="2" s="1"/>
  <c r="C29" i="2"/>
  <c r="D29" i="2" s="1"/>
  <c r="B29" i="2"/>
  <c r="C28" i="2"/>
  <c r="D28" i="2" s="1"/>
  <c r="B28" i="2"/>
  <c r="D24" i="2"/>
  <c r="B24" i="2"/>
  <c r="C24" i="2" s="1"/>
  <c r="D23" i="2"/>
  <c r="I6" i="3" s="1"/>
  <c r="B23" i="2"/>
  <c r="C23" i="2" s="1"/>
  <c r="D22" i="2"/>
  <c r="I5" i="3" s="1"/>
  <c r="B22" i="2"/>
  <c r="J5" i="3" s="1"/>
  <c r="D18" i="2"/>
  <c r="B10" i="3" s="1"/>
  <c r="C18" i="2"/>
  <c r="B18" i="2"/>
  <c r="C10" i="3" s="1"/>
  <c r="D17" i="2"/>
  <c r="B9" i="3" s="1"/>
  <c r="C17" i="2"/>
  <c r="B17" i="2"/>
  <c r="C9" i="3" s="1"/>
  <c r="D16" i="2"/>
  <c r="B16" i="2"/>
  <c r="C8" i="3" s="1"/>
  <c r="D15" i="2"/>
  <c r="B15" i="2"/>
  <c r="C15" i="2" s="1"/>
  <c r="D14" i="2"/>
  <c r="B6" i="3" s="1"/>
  <c r="B14" i="2"/>
  <c r="C6" i="3" s="1"/>
  <c r="D13" i="2"/>
  <c r="B5" i="3" s="1"/>
  <c r="C13" i="2"/>
  <c r="B13" i="2"/>
  <c r="C5" i="3" s="1"/>
  <c r="F11" i="2"/>
  <c r="D11" i="2"/>
  <c r="F10" i="2"/>
  <c r="D10" i="2"/>
  <c r="D9" i="2"/>
  <c r="F9" i="2" s="1"/>
  <c r="D8" i="2"/>
  <c r="F8" i="2" s="1"/>
  <c r="D7" i="2"/>
  <c r="F7" i="2" s="1"/>
  <c r="D6" i="2"/>
  <c r="F6" i="2" s="1"/>
  <c r="D5" i="2"/>
  <c r="F5" i="2" s="1"/>
  <c r="C22" i="2" l="1"/>
  <c r="C14" i="2"/>
  <c r="C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0" authorId="0" shapeId="0" xr:uid="{00000000-0006-0000-00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Ingrese el número real de páginas diferentes inspeccionadas. No sume páginas repetidas entre checklists. Máximo del ERS: 109.</t>
        </r>
      </text>
    </comment>
  </commentList>
</comments>
</file>

<file path=xl/sharedStrings.xml><?xml version="1.0" encoding="utf-8"?>
<sst xmlns="http://schemas.openxmlformats.org/spreadsheetml/2006/main" count="200" uniqueCount="104">
  <si>
    <t>DATOS DE ENTRADA — MÉTRICAS DE INSPECCIÓN FAGAN</t>
  </si>
  <si>
    <t>Datos sincronizados con los 15 defectos aceptados en Jira</t>
  </si>
  <si>
    <t>Integrante</t>
  </si>
  <si>
    <t>Checklist confirmado</t>
  </si>
  <si>
    <t>ID</t>
  </si>
  <si>
    <t>Tipo</t>
  </si>
  <si>
    <t>Severidad</t>
  </si>
  <si>
    <t>Decisión Fagan</t>
  </si>
  <si>
    <t>Estado</t>
  </si>
  <si>
    <t>Página(s) ERS</t>
  </si>
  <si>
    <t>Steven Santiago Díaz Pontón</t>
  </si>
  <si>
    <t>Confirmado</t>
  </si>
  <si>
    <t>DEF-01</t>
  </si>
  <si>
    <t>Consistencia</t>
  </si>
  <si>
    <t>Mayor</t>
  </si>
  <si>
    <t>Aceptado</t>
  </si>
  <si>
    <t>Corregido</t>
  </si>
  <si>
    <t>p. 2</t>
  </si>
  <si>
    <t>Anthony Alfredo Vera Gómez</t>
  </si>
  <si>
    <t>DEF-02</t>
  </si>
  <si>
    <t>Completitud</t>
  </si>
  <si>
    <t>pp. 22 y 27</t>
  </si>
  <si>
    <t>Paul Alexander Tigasi Sampedro</t>
  </si>
  <si>
    <t>DEF-03</t>
  </si>
  <si>
    <t>Ambigüedad</t>
  </si>
  <si>
    <t>Menor</t>
  </si>
  <si>
    <t>p. 22</t>
  </si>
  <si>
    <t>DEF-04</t>
  </si>
  <si>
    <t>Trazabilidad</t>
  </si>
  <si>
    <t>pp. 28, 35 y 36</t>
  </si>
  <si>
    <t>Dato de sesión</t>
  </si>
  <si>
    <t>Valor</t>
  </si>
  <si>
    <t>DEF-05</t>
  </si>
  <si>
    <t>Verificabilidad</t>
  </si>
  <si>
    <t>p. 30</t>
  </si>
  <si>
    <t>Páginas efectivas inspeccionadas</t>
  </si>
  <si>
    <t>DEF-06</t>
  </si>
  <si>
    <t>Factibilidad</t>
  </si>
  <si>
    <t>p. 31</t>
  </si>
  <si>
    <t>Fecha de sesión</t>
  </si>
  <si>
    <t>DEF-07</t>
  </si>
  <si>
    <t>DEF-08</t>
  </si>
  <si>
    <t>Crítico</t>
  </si>
  <si>
    <t>pp. 2 y 67</t>
  </si>
  <si>
    <t>Candidatos propuestos</t>
  </si>
  <si>
    <t>DEF-09</t>
  </si>
  <si>
    <t>DEF-10</t>
  </si>
  <si>
    <t>p. 32</t>
  </si>
  <si>
    <t>DEF-11</t>
  </si>
  <si>
    <t>Abierto</t>
  </si>
  <si>
    <t>p. 82</t>
  </si>
  <si>
    <t>DEF-12</t>
  </si>
  <si>
    <t>p. 40</t>
  </si>
  <si>
    <t>DEF-13</t>
  </si>
  <si>
    <t>Insumos para esfuerzo (horas) -- completar con evidencia</t>
  </si>
  <si>
    <t>DEF-14</t>
  </si>
  <si>
    <t>p. 41</t>
  </si>
  <si>
    <t>Horas de preparación — Steven Santiago Díaz Pontón</t>
  </si>
  <si>
    <t>DEF-15</t>
  </si>
  <si>
    <t>pp. 31 y 36</t>
  </si>
  <si>
    <t>Horas de preparación — Anthony Alfredo Vera Gómez</t>
  </si>
  <si>
    <t>DEF-16</t>
  </si>
  <si>
    <t>Rechazado</t>
  </si>
  <si>
    <t>No incorporado</t>
  </si>
  <si>
    <t>Horas de preparación — Paul Alexander Tigasi Sampedro</t>
  </si>
  <si>
    <t>DEF-17</t>
  </si>
  <si>
    <t>pp. 82 y 84</t>
  </si>
  <si>
    <t>Duración de la reunión (horas)</t>
  </si>
  <si>
    <t>DEF-18</t>
  </si>
  <si>
    <t>p. 67</t>
  </si>
  <si>
    <t>MÉTRICAS DE INSPECCIÓN FAGAN — ERS ENTREGA 3 (2A)</t>
  </si>
  <si>
    <t>Resultados calculados desde 15 defectos aceptados; DEF-11, DEF-12 y DEF-14 permanecen abiertos.</t>
  </si>
  <si>
    <t>N.º</t>
  </si>
  <si>
    <t>Métrica</t>
  </si>
  <si>
    <t>Fórmula utilizada</t>
  </si>
  <si>
    <t>Resultado</t>
  </si>
  <si>
    <t>Criterio</t>
  </si>
  <si>
    <t>Interpretación automática</t>
  </si>
  <si>
    <t>Densidad de defectos</t>
  </si>
  <si>
    <t>Defectos únicos aceptados / páginas efectivas inspeccionadas</t>
  </si>
  <si>
    <t>Informativa</t>
  </si>
  <si>
    <t>Preparación individual</t>
  </si>
  <si>
    <t>Checklists confirmados / integrantes del equipo × 100</t>
  </si>
  <si>
    <t>100 %</t>
  </si>
  <si>
    <t>Eliminación de críticos y mayores</t>
  </si>
  <si>
    <t>Críticos y mayores corregidos / críticos y mayores aceptados × 100</t>
  </si>
  <si>
    <t>Distribución por tipo</t>
  </si>
  <si>
    <t>Defectos aceptados de cada tipo / total aceptado × 100</t>
  </si>
  <si>
    <t>Ver tabla por tipo</t>
  </si>
  <si>
    <t>Distribución por severidad</t>
  </si>
  <si>
    <t>Defectos aceptados de cada severidad / total aceptado × 100</t>
  </si>
  <si>
    <t>Ver tabla por severidad</t>
  </si>
  <si>
    <t>Tasa de detección por inspector</t>
  </si>
  <si>
    <t>Defectos aceptados propuestos por cada inspector / candidatos propuestos por ese inspector × 100</t>
  </si>
  <si>
    <t>Ver tabla por inspector</t>
  </si>
  <si>
    <t>Esfuerzo total en horas-persona</t>
  </si>
  <si>
    <t>Σ horas de preparación individual + (duración de la reunión × integrantes asistentes)</t>
  </si>
  <si>
    <t>Aceptados</t>
  </si>
  <si>
    <t>Porcentaje</t>
  </si>
  <si>
    <t>Candidatos</t>
  </si>
  <si>
    <t>Tasa de detección</t>
  </si>
  <si>
    <t>GRÁFICOS DE DISTRIBUCIÓN — INSPECCIÓN FAGAN</t>
  </si>
  <si>
    <t>Las barras azules muestran candidatos; las verdes mostrarán únicamente defectos aceptados en la reunión.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</si>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</sst>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15" x14ac:knownFonts="1">
    <font>
      <sz val="11"/>
      <name val="Calibri"/>
      <charset val="1"/>
    </font>
    <font>
      <sz val="11"/>
      <name val="Times New Roman"/>
      <family val="1"/>
      <charset val="1"/>
    </font>
    <font>
      <b/>
      <sz val="16"/>
      <color rgb="FFFFFFFF"/>
      <name val="Times New Roman"/>
      <family val="1"/>
      <charset val="1"/>
    </font>
    <font>
      <b/>
      <i/>
      <sz val="11"/>
      <color rgb="FF7F6000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b/>
      <sz val="14"/>
      <color rgb="FFFFFFFF"/>
      <name val="Times New Roman"/>
      <family val="1"/>
      <charset val="1"/>
    </font>
    <font>
      <sz val="10"/>
      <color rgb="FF1F2937"/>
      <name val="Times New Roman"/>
      <family val="1"/>
      <charset val="1"/>
    </font>
    <font>
      <sz val="10"/>
      <name val="Arial"/>
      <family val="2"/>
    </font>
    <font>
      <b/>
      <sz val="16"/>
      <color rgb="FFFFFFFF"/>
      <name val="Calibri"/>
      <charset val="1"/>
    </font>
    <font>
      <i/>
      <sz val="11"/>
      <color rgb="FF7F6000"/>
      <name val="Calibri"/>
      <charset val="1"/>
    </font>
    <font>
      <b/>
      <sz val="11"/>
      <color rgb="FFFFFFFF"/>
      <name val="Calibri"/>
      <charset val="1"/>
    </font>
    <font>
      <b/>
      <sz val="11"/>
      <color rgb="FF1F2937"/>
      <name val="Calibri"/>
      <charset val="1"/>
    </font>
    <font>
      <b/>
      <sz val="11"/>
      <color rgb="FF7F6000"/>
      <name val="Calibri"/>
      <charset val="1"/>
    </font>
    <font>
      <i/>
      <sz val="11"/>
      <color rgb="FF1F2937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59987182226020086"/>
        <bgColor rgb="FFF4CCCC"/>
      </patternFill>
    </fill>
    <fill>
      <patternFill patternType="solid">
        <fgColor rgb="FF1F4E78"/>
        <bgColor rgb="FF163E64"/>
      </patternFill>
    </fill>
    <fill>
      <patternFill patternType="solid">
        <fgColor rgb="FFFFF2CC"/>
        <bgColor rgb="FFFCE5CD"/>
      </patternFill>
    </fill>
    <fill>
      <patternFill patternType="solid">
        <fgColor theme="5" tint="-0.499984740745262"/>
        <bgColor rgb="FF9C5700"/>
      </patternFill>
    </fill>
    <fill>
      <patternFill patternType="solid">
        <fgColor theme="0"/>
        <bgColor rgb="FFEAF2F8"/>
      </patternFill>
    </fill>
    <fill>
      <patternFill patternType="solid">
        <fgColor theme="3" tint="9.9887081514938816E-2"/>
        <bgColor rgb="FF1F4E78"/>
      </patternFill>
    </fill>
    <fill>
      <patternFill patternType="solid">
        <fgColor rgb="FF2F75B5"/>
        <bgColor rgb="FF1F6D8C"/>
      </patternFill>
    </fill>
    <fill>
      <patternFill patternType="solid">
        <fgColor rgb="FFEAF2F8"/>
        <bgColor rgb="FFD9EAF7"/>
      </patternFill>
    </fill>
    <fill>
      <patternFill patternType="solid">
        <fgColor rgb="FFD9EAF7"/>
        <bgColor rgb="FFD9E2F3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5" fillId="2" borderId="0"/>
  </cellStyleXfs>
  <cellXfs count="38">
    <xf numFmtId="0" fontId="0" fillId="0" borderId="0" xfId="0"/>
    <xf numFmtId="0" fontId="14" fillId="10" borderId="0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0" fontId="4" fillId="2" borderId="1" xfId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1" fillId="6" borderId="0" xfId="0" applyFont="1" applyFill="1"/>
    <xf numFmtId="0" fontId="11" fillId="8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9" borderId="11" xfId="0" applyFont="1" applyFill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166" fontId="13" fillId="4" borderId="11" xfId="0" applyNumberFormat="1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vertical="center"/>
    </xf>
    <xf numFmtId="166" fontId="0" fillId="0" borderId="11" xfId="0" applyNumberFormat="1" applyBorder="1" applyAlignment="1">
      <alignment vertical="center"/>
    </xf>
    <xf numFmtId="0" fontId="11" fillId="8" borderId="11" xfId="0" applyFont="1" applyFill="1" applyBorder="1" applyAlignment="1">
      <alignment horizontal="center"/>
    </xf>
    <xf numFmtId="0" fontId="0" fillId="0" borderId="11" xfId="0" applyBorder="1"/>
    <xf numFmtId="0" fontId="1" fillId="0" borderId="0" xfId="0" applyFont="1" applyFill="1"/>
    <xf numFmtId="0" fontId="6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</cellXfs>
  <cellStyles count="2">
    <cellStyle name="Excel Built-in 40% - Accent2" xfId="1" xr:uid="{00000000-0005-0000-0000-000006000000}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Times New Roman"/>
        <family val="1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1F6D8C"/>
      <rgbColor rgb="FFCCCCCC"/>
      <rgbColor rgb="FF8B8B8B"/>
      <rgbColor rgb="FF9999FF"/>
      <rgbColor rgb="FF9C5700"/>
      <rgbColor rgb="FFFFF2CC"/>
      <rgbColor rgb="FFD9EAF7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D9EAD3"/>
      <rgbColor rgb="FFFCE5CD"/>
      <rgbColor rgb="FFD9D9D9"/>
      <rgbColor rgb="FFF4CCCC"/>
      <rgbColor rgb="FFD9E2F3"/>
      <rgbColor rgb="FFF6C6AD"/>
      <rgbColor rgb="FF2F75B5"/>
      <rgbColor rgb="FF33CCCC"/>
      <rgbColor rgb="FF99CC00"/>
      <rgbColor rgb="FFFFCC00"/>
      <rgbColor rgb="FFFF9900"/>
      <rgbColor rgb="FFFF6600"/>
      <rgbColor rgb="FF666699"/>
      <rgbColor rgb="FF70AD47"/>
      <rgbColor rgb="FF163E64"/>
      <rgbColor rgb="FF339966"/>
      <rgbColor rgb="FF003300"/>
      <rgbColor rgb="FF274E13"/>
      <rgbColor rgb="FF80350E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Distribución de defectos por tipo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Candidatos</c:v>
          </c:tx>
          <c:spPr>
            <a:solidFill>
              <a:srgbClr val="1F6D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EC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Graficos!$A$5:$A$10</c:f>
              <c:strCache>
                <c:ptCount val="6"/>
                <c:pt idx="0">
                  <c:v>Ambigüedad</c:v>
                </c:pt>
                <c:pt idx="1">
                  <c:v>Completitud</c:v>
                </c:pt>
                <c:pt idx="2">
                  <c:v>Consistencia</c:v>
                </c:pt>
                <c:pt idx="3">
                  <c:v>Verificabilidad</c:v>
                </c:pt>
                <c:pt idx="4">
                  <c:v>Trazabilidad</c:v>
                </c:pt>
                <c:pt idx="5">
                  <c:v>Factibilidad</c:v>
                </c:pt>
              </c:strCache>
            </c:strRef>
          </c:cat>
          <c:val>
            <c:numRef>
              <c:f>Graficos!$B$5:$B$10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A-4D7A-A96F-82157AA60A60}"/>
            </c:ext>
          </c:extLst>
        </c:ser>
        <c:ser>
          <c:idx val="1"/>
          <c:order val="1"/>
          <c:tx>
            <c:v>Aceptados</c:v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EC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Graficos!$A$5:$A$10</c:f>
              <c:strCache>
                <c:ptCount val="6"/>
                <c:pt idx="0">
                  <c:v>Ambigüedad</c:v>
                </c:pt>
                <c:pt idx="1">
                  <c:v>Completitud</c:v>
                </c:pt>
                <c:pt idx="2">
                  <c:v>Consistencia</c:v>
                </c:pt>
                <c:pt idx="3">
                  <c:v>Verificabilidad</c:v>
                </c:pt>
                <c:pt idx="4">
                  <c:v>Trazabilidad</c:v>
                </c:pt>
                <c:pt idx="5">
                  <c:v>Factibilidad</c:v>
                </c:pt>
              </c:strCache>
            </c:strRef>
          </c:cat>
          <c:val>
            <c:numRef>
              <c:f>Graficos!$C$5:$C$10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A-4D7A-A96F-82157AA60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12737"/>
        <c:axId val="15600092"/>
      </c:barChart>
      <c:catAx>
        <c:axId val="7021273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EC"/>
          </a:p>
        </c:txPr>
        <c:crossAx val="15600092"/>
        <c:crosses val="autoZero"/>
        <c:auto val="1"/>
        <c:lblAlgn val="ctr"/>
        <c:lblOffset val="100"/>
        <c:noMultiLvlLbl val="0"/>
      </c:catAx>
      <c:valAx>
        <c:axId val="1560009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EC"/>
          </a:p>
        </c:txPr>
        <c:crossAx val="702127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Distribución de defectos por severidad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Candidatos</c:v>
          </c:tx>
          <c:spPr>
            <a:solidFill>
              <a:srgbClr val="1F6D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EC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Graficos!$H$5:$H$7</c:f>
              <c:strCache>
                <c:ptCount val="3"/>
                <c:pt idx="0">
                  <c:v>Crítico</c:v>
                </c:pt>
                <c:pt idx="1">
                  <c:v>Mayor</c:v>
                </c:pt>
                <c:pt idx="2">
                  <c:v>Menor</c:v>
                </c:pt>
              </c:strCache>
            </c:strRef>
          </c:cat>
          <c:val>
            <c:numRef>
              <c:f>Graficos!$I$5:$I$7</c:f>
              <c:numCache>
                <c:formatCode>General</c:formatCode>
                <c:ptCount val="3"/>
                <c:pt idx="0">
                  <c:v>4</c:v>
                </c:pt>
                <c:pt idx="1">
                  <c:v>12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C-407C-8B8B-6107FF687185}"/>
            </c:ext>
          </c:extLst>
        </c:ser>
        <c:ser>
          <c:idx val="1"/>
          <c:order val="1"/>
          <c:tx>
            <c:v>Aceptados</c:v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EC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Graficos!$H$5:$H$7</c:f>
              <c:strCache>
                <c:ptCount val="3"/>
                <c:pt idx="0">
                  <c:v>Crítico</c:v>
                </c:pt>
                <c:pt idx="1">
                  <c:v>Mayor</c:v>
                </c:pt>
                <c:pt idx="2">
                  <c:v>Menor</c:v>
                </c:pt>
              </c:strCache>
            </c:strRef>
          </c:cat>
          <c:val>
            <c:numRef>
              <c:f>Graficos!$J$5:$J$7</c:f>
              <c:numCache>
                <c:formatCode>General</c:formatCode>
                <c:ptCount val="3"/>
                <c:pt idx="0">
                  <c:v>3</c:v>
                </c:pt>
                <c:pt idx="1">
                  <c:v>10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C-407C-8B8B-6107FF687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837838"/>
        <c:axId val="88458423"/>
      </c:barChart>
      <c:catAx>
        <c:axId val="3083783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EC"/>
          </a:p>
        </c:txPr>
        <c:crossAx val="88458423"/>
        <c:crosses val="autoZero"/>
        <c:auto val="1"/>
        <c:lblAlgn val="ctr"/>
        <c:lblOffset val="100"/>
        <c:noMultiLvlLbl val="0"/>
      </c:catAx>
      <c:valAx>
        <c:axId val="8845842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EC"/>
          </a:p>
        </c:txPr>
        <c:crossAx val="308378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633960</xdr:colOff>
      <xdr:row>29</xdr:row>
      <xdr:rowOff>180720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13</xdr:col>
      <xdr:colOff>634320</xdr:colOff>
      <xdr:row>29</xdr:row>
      <xdr:rowOff>180720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Defectos" displayName="DatosDefectos" ref="A5:G23" totalsRowShown="0">
  <tableColumns count="7">
    <tableColumn id="1" xr3:uid="{00000000-0010-0000-0000-000001000000}" name="ID"/>
    <tableColumn id="2" xr3:uid="{00000000-0010-0000-0000-000002000000}" name="Tipo"/>
    <tableColumn id="3" xr3:uid="{00000000-0010-0000-0000-000003000000}" name="Severidad"/>
    <tableColumn id="4" xr3:uid="{00000000-0010-0000-0000-000004000000}" name="Decisión Fagan"/>
    <tableColumn id="5" xr3:uid="{00000000-0010-0000-0000-000005000000}" name="Estado"/>
    <tableColumn id="6" xr3:uid="{00000000-0010-0000-0000-000006000000}" name="Página(s) ERS"/>
    <tableColumn id="7" xr3:uid="{33470265-3DAF-4E0F-BDAC-9EB490A35C80}" name="Columna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8" zoomScale="97" zoomScaleNormal="68" workbookViewId="0">
      <selection activeCell="G9" sqref="G9"/>
    </sheetView>
  </sheetViews>
  <sheetFormatPr baseColWidth="10" defaultColWidth="9" defaultRowHeight="15" x14ac:dyDescent="0.25"/>
  <cols>
    <col min="1" max="1" width="6.7109375" style="6" bestFit="1" customWidth="1"/>
    <col min="2" max="2" width="12.28515625" style="6" bestFit="1" customWidth="1"/>
    <col min="3" max="3" width="12.85546875" style="6" bestFit="1" customWidth="1"/>
    <col min="4" max="4" width="19.5703125" style="6" bestFit="1" customWidth="1"/>
    <col min="5" max="5" width="13.42578125" style="6" bestFit="1" customWidth="1"/>
    <col min="6" max="6" width="18.5703125" style="6" bestFit="1" customWidth="1"/>
    <col min="7" max="7" width="40.42578125" style="34" bestFit="1" customWidth="1"/>
    <col min="8" max="8" width="51" style="6" bestFit="1" customWidth="1"/>
    <col min="9" max="9" width="22.7109375" style="6" bestFit="1" customWidth="1"/>
    <col min="10" max="16384" width="9" style="6"/>
  </cols>
  <sheetData>
    <row r="1" spans="1:9" ht="30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36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x14ac:dyDescent="0.25">
      <c r="H4" s="7" t="s">
        <v>2</v>
      </c>
      <c r="I4" s="7" t="s">
        <v>3</v>
      </c>
    </row>
    <row r="5" spans="1:9" ht="27.75" customHeight="1" x14ac:dyDescent="0.25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10" t="s">
        <v>9</v>
      </c>
      <c r="G5" s="35" t="s">
        <v>103</v>
      </c>
      <c r="H5" s="11" t="s">
        <v>10</v>
      </c>
      <c r="I5" s="11" t="s">
        <v>11</v>
      </c>
    </row>
    <row r="6" spans="1:9" ht="27.75" customHeight="1" x14ac:dyDescent="0.25">
      <c r="A6" s="12" t="s">
        <v>12</v>
      </c>
      <c r="B6" s="13" t="s">
        <v>13</v>
      </c>
      <c r="C6" s="13" t="s">
        <v>14</v>
      </c>
      <c r="D6" s="13" t="s">
        <v>15</v>
      </c>
      <c r="E6" s="13" t="s">
        <v>16</v>
      </c>
      <c r="F6" s="14" t="s">
        <v>17</v>
      </c>
      <c r="G6" s="36"/>
      <c r="H6" s="11" t="s">
        <v>18</v>
      </c>
      <c r="I6" s="11" t="s">
        <v>11</v>
      </c>
    </row>
    <row r="7" spans="1:9" ht="27.75" customHeight="1" x14ac:dyDescent="0.25">
      <c r="A7" s="12" t="s">
        <v>19</v>
      </c>
      <c r="B7" s="13" t="s">
        <v>20</v>
      </c>
      <c r="C7" s="13" t="s">
        <v>14</v>
      </c>
      <c r="D7" s="13" t="s">
        <v>15</v>
      </c>
      <c r="E7" s="13" t="s">
        <v>16</v>
      </c>
      <c r="F7" s="14" t="s">
        <v>21</v>
      </c>
      <c r="G7" s="36"/>
      <c r="H7" s="11" t="s">
        <v>22</v>
      </c>
      <c r="I7" s="11" t="s">
        <v>11</v>
      </c>
    </row>
    <row r="8" spans="1:9" ht="27.75" customHeight="1" x14ac:dyDescent="0.25">
      <c r="A8" s="12" t="s">
        <v>23</v>
      </c>
      <c r="B8" s="13" t="s">
        <v>24</v>
      </c>
      <c r="C8" s="13" t="s">
        <v>25</v>
      </c>
      <c r="D8" s="13" t="s">
        <v>15</v>
      </c>
      <c r="E8" s="13" t="s">
        <v>16</v>
      </c>
      <c r="F8" s="14" t="s">
        <v>26</v>
      </c>
      <c r="G8" s="36"/>
    </row>
    <row r="9" spans="1:9" ht="27.75" customHeight="1" x14ac:dyDescent="0.25">
      <c r="A9" s="12" t="s">
        <v>27</v>
      </c>
      <c r="B9" s="13" t="s">
        <v>28</v>
      </c>
      <c r="C9" s="13" t="s">
        <v>14</v>
      </c>
      <c r="D9" s="13" t="s">
        <v>15</v>
      </c>
      <c r="E9" s="13" t="s">
        <v>16</v>
      </c>
      <c r="F9" s="14" t="s">
        <v>29</v>
      </c>
      <c r="G9" s="36"/>
      <c r="H9" s="15" t="s">
        <v>30</v>
      </c>
      <c r="I9" s="15" t="s">
        <v>31</v>
      </c>
    </row>
    <row r="10" spans="1:9" ht="27.75" customHeight="1" x14ac:dyDescent="0.25">
      <c r="A10" s="12" t="s">
        <v>32</v>
      </c>
      <c r="B10" s="13" t="s">
        <v>33</v>
      </c>
      <c r="C10" s="13" t="s">
        <v>14</v>
      </c>
      <c r="D10" s="13" t="s">
        <v>15</v>
      </c>
      <c r="E10" s="13" t="s">
        <v>16</v>
      </c>
      <c r="F10" s="14" t="s">
        <v>34</v>
      </c>
      <c r="G10" s="36"/>
      <c r="H10" s="11" t="s">
        <v>35</v>
      </c>
      <c r="I10" s="11">
        <v>83</v>
      </c>
    </row>
    <row r="11" spans="1:9" ht="27.75" customHeight="1" x14ac:dyDescent="0.25">
      <c r="A11" s="12" t="s">
        <v>36</v>
      </c>
      <c r="B11" s="13" t="s">
        <v>37</v>
      </c>
      <c r="C11" s="13" t="s">
        <v>14</v>
      </c>
      <c r="D11" s="13" t="s">
        <v>15</v>
      </c>
      <c r="E11" s="13" t="s">
        <v>16</v>
      </c>
      <c r="F11" s="14" t="s">
        <v>38</v>
      </c>
      <c r="G11" s="36"/>
      <c r="H11" s="11" t="s">
        <v>39</v>
      </c>
      <c r="I11" s="16">
        <v>46238</v>
      </c>
    </row>
    <row r="12" spans="1:9" ht="27.75" customHeight="1" x14ac:dyDescent="0.25">
      <c r="A12" s="12" t="s">
        <v>40</v>
      </c>
      <c r="B12" s="13" t="s">
        <v>24</v>
      </c>
      <c r="C12" s="13" t="s">
        <v>14</v>
      </c>
      <c r="D12" s="13" t="s">
        <v>15</v>
      </c>
      <c r="E12" s="13" t="s">
        <v>16</v>
      </c>
      <c r="F12" s="14" t="s">
        <v>26</v>
      </c>
      <c r="G12" s="36"/>
    </row>
    <row r="13" spans="1:9" ht="27.75" customHeight="1" x14ac:dyDescent="0.25">
      <c r="A13" s="12" t="s">
        <v>41</v>
      </c>
      <c r="B13" s="13" t="s">
        <v>20</v>
      </c>
      <c r="C13" s="13" t="s">
        <v>42</v>
      </c>
      <c r="D13" s="13" t="s">
        <v>15</v>
      </c>
      <c r="E13" s="13" t="s">
        <v>16</v>
      </c>
      <c r="F13" s="14" t="s">
        <v>43</v>
      </c>
      <c r="G13" s="36"/>
      <c r="H13" s="17" t="s">
        <v>2</v>
      </c>
      <c r="I13" s="17" t="s">
        <v>44</v>
      </c>
    </row>
    <row r="14" spans="1:9" ht="27.75" customHeight="1" x14ac:dyDescent="0.25">
      <c r="A14" s="12" t="s">
        <v>45</v>
      </c>
      <c r="B14" s="13" t="s">
        <v>13</v>
      </c>
      <c r="C14" s="13" t="s">
        <v>14</v>
      </c>
      <c r="D14" s="13" t="s">
        <v>15</v>
      </c>
      <c r="E14" s="13" t="s">
        <v>16</v>
      </c>
      <c r="F14" s="14" t="s">
        <v>34</v>
      </c>
      <c r="G14" s="36"/>
      <c r="H14" s="11" t="s">
        <v>10</v>
      </c>
      <c r="I14" s="11">
        <v>6</v>
      </c>
    </row>
    <row r="15" spans="1:9" ht="27.75" customHeight="1" x14ac:dyDescent="0.25">
      <c r="A15" s="12" t="s">
        <v>46</v>
      </c>
      <c r="B15" s="13" t="s">
        <v>33</v>
      </c>
      <c r="C15" s="13" t="s">
        <v>14</v>
      </c>
      <c r="D15" s="13" t="s">
        <v>15</v>
      </c>
      <c r="E15" s="13" t="s">
        <v>16</v>
      </c>
      <c r="F15" s="14" t="s">
        <v>47</v>
      </c>
      <c r="G15" s="36"/>
      <c r="H15" s="11" t="s">
        <v>18</v>
      </c>
      <c r="I15" s="11">
        <v>6</v>
      </c>
    </row>
    <row r="16" spans="1:9" ht="27.75" customHeight="1" x14ac:dyDescent="0.25">
      <c r="A16" s="12" t="s">
        <v>48</v>
      </c>
      <c r="B16" s="13" t="s">
        <v>28</v>
      </c>
      <c r="C16" s="13" t="s">
        <v>42</v>
      </c>
      <c r="D16" s="13" t="s">
        <v>15</v>
      </c>
      <c r="E16" s="13" t="s">
        <v>49</v>
      </c>
      <c r="F16" s="14" t="s">
        <v>50</v>
      </c>
      <c r="G16" s="36"/>
      <c r="H16" s="11" t="s">
        <v>22</v>
      </c>
      <c r="I16" s="11">
        <v>6</v>
      </c>
    </row>
    <row r="17" spans="1:9" ht="27.75" customHeight="1" x14ac:dyDescent="0.25">
      <c r="A17" s="12" t="s">
        <v>51</v>
      </c>
      <c r="B17" s="13" t="s">
        <v>37</v>
      </c>
      <c r="C17" s="13" t="s">
        <v>14</v>
      </c>
      <c r="D17" s="13" t="s">
        <v>15</v>
      </c>
      <c r="E17" s="13" t="s">
        <v>49</v>
      </c>
      <c r="F17" s="14" t="s">
        <v>52</v>
      </c>
      <c r="G17" s="36"/>
    </row>
    <row r="18" spans="1:9" ht="27.75" customHeight="1" x14ac:dyDescent="0.25">
      <c r="A18" s="12" t="s">
        <v>53</v>
      </c>
      <c r="B18" s="13" t="s">
        <v>24</v>
      </c>
      <c r="C18" s="13" t="s">
        <v>25</v>
      </c>
      <c r="D18" s="13" t="s">
        <v>15</v>
      </c>
      <c r="E18" s="13" t="s">
        <v>16</v>
      </c>
      <c r="F18" s="14" t="s">
        <v>52</v>
      </c>
      <c r="G18" s="36"/>
      <c r="H18" s="4" t="s">
        <v>54</v>
      </c>
      <c r="I18" s="4"/>
    </row>
    <row r="19" spans="1:9" ht="27.75" customHeight="1" x14ac:dyDescent="0.25">
      <c r="A19" s="12" t="s">
        <v>55</v>
      </c>
      <c r="B19" s="13" t="s">
        <v>20</v>
      </c>
      <c r="C19" s="13" t="s">
        <v>42</v>
      </c>
      <c r="D19" s="13" t="s">
        <v>15</v>
      </c>
      <c r="E19" s="13" t="s">
        <v>49</v>
      </c>
      <c r="F19" s="14" t="s">
        <v>56</v>
      </c>
      <c r="G19" s="36"/>
      <c r="H19" s="11" t="s">
        <v>57</v>
      </c>
      <c r="I19" s="18"/>
    </row>
    <row r="20" spans="1:9" ht="27.75" customHeight="1" x14ac:dyDescent="0.25">
      <c r="A20" s="12" t="s">
        <v>58</v>
      </c>
      <c r="B20" s="13" t="s">
        <v>13</v>
      </c>
      <c r="C20" s="13" t="s">
        <v>14</v>
      </c>
      <c r="D20" s="13" t="s">
        <v>15</v>
      </c>
      <c r="E20" s="13" t="s">
        <v>16</v>
      </c>
      <c r="F20" s="14" t="s">
        <v>59</v>
      </c>
      <c r="G20" s="36"/>
      <c r="H20" s="11" t="s">
        <v>60</v>
      </c>
      <c r="I20" s="18"/>
    </row>
    <row r="21" spans="1:9" ht="27.75" customHeight="1" x14ac:dyDescent="0.25">
      <c r="A21" s="12" t="s">
        <v>61</v>
      </c>
      <c r="B21" s="13" t="s">
        <v>33</v>
      </c>
      <c r="C21" s="13" t="s">
        <v>14</v>
      </c>
      <c r="D21" s="13" t="s">
        <v>62</v>
      </c>
      <c r="E21" s="13" t="s">
        <v>63</v>
      </c>
      <c r="F21" s="14" t="s">
        <v>56</v>
      </c>
      <c r="G21" s="36"/>
      <c r="H21" s="11" t="s">
        <v>64</v>
      </c>
      <c r="I21" s="18"/>
    </row>
    <row r="22" spans="1:9" ht="27.75" customHeight="1" x14ac:dyDescent="0.25">
      <c r="A22" s="12" t="s">
        <v>65</v>
      </c>
      <c r="B22" s="13" t="s">
        <v>28</v>
      </c>
      <c r="C22" s="13" t="s">
        <v>42</v>
      </c>
      <c r="D22" s="13" t="s">
        <v>62</v>
      </c>
      <c r="E22" s="13" t="s">
        <v>63</v>
      </c>
      <c r="F22" s="14" t="s">
        <v>66</v>
      </c>
      <c r="G22" s="36"/>
      <c r="H22" s="11" t="s">
        <v>67</v>
      </c>
      <c r="I22" s="18"/>
    </row>
    <row r="23" spans="1:9" ht="27.75" customHeight="1" x14ac:dyDescent="0.25">
      <c r="A23" s="19" t="s">
        <v>68</v>
      </c>
      <c r="B23" s="20" t="s">
        <v>37</v>
      </c>
      <c r="C23" s="20" t="s">
        <v>14</v>
      </c>
      <c r="D23" s="20" t="s">
        <v>62</v>
      </c>
      <c r="E23" s="20" t="s">
        <v>63</v>
      </c>
      <c r="F23" s="21" t="s">
        <v>69</v>
      </c>
      <c r="G23" s="37"/>
    </row>
    <row r="24" spans="1:9" x14ac:dyDescent="0.25">
      <c r="A24" s="22"/>
      <c r="B24" s="22"/>
      <c r="C24" s="22"/>
      <c r="D24" s="22"/>
      <c r="E24" s="22"/>
      <c r="F24" s="22"/>
    </row>
  </sheetData>
  <mergeCells count="3">
    <mergeCell ref="A1:I1"/>
    <mergeCell ref="A2:I2"/>
    <mergeCell ref="H18:I18"/>
  </mergeCells>
  <conditionalFormatting sqref="C6:C23">
    <cfRule type="containsText" dxfId="4" priority="4" operator="containsText" text="Crítico">
      <formula>NOT(ISERROR(SEARCH("Crítico",C6)))</formula>
    </cfRule>
    <cfRule type="containsText" dxfId="3" priority="5" operator="containsText" text="Mayor">
      <formula>NOT(ISERROR(SEARCH("Mayor",C6)))</formula>
    </cfRule>
  </conditionalFormatting>
  <conditionalFormatting sqref="D6:D23">
    <cfRule type="containsText" dxfId="2" priority="2" operator="containsText" text="Aceptado">
      <formula>NOT(ISERROR(SEARCH("Aceptado",D6)))</formula>
    </cfRule>
  </conditionalFormatting>
  <conditionalFormatting sqref="E6:E23">
    <cfRule type="containsText" dxfId="1" priority="3" operator="containsText" text="Corregido">
      <formula>NOT(ISERROR(SEARCH("Corregido",E6)))</formula>
    </cfRule>
  </conditionalFormatting>
  <dataValidations count="4">
    <dataValidation type="list" sqref="D6:D23" xr:uid="{00000000-0002-0000-0000-000000000000}">
      <formula1>"Pendiente,Aceptado,Duplicado,Rechazado"</formula1>
      <formula2>0</formula2>
    </dataValidation>
    <dataValidation type="list" sqref="E6:E23" xr:uid="{00000000-0002-0000-0000-000001000000}">
      <formula1>"Pendiente de validación,Abierto,En corrección,Corregido,No aplica"</formula1>
      <formula2>0</formula2>
    </dataValidation>
    <dataValidation type="list" sqref="I5:I7" xr:uid="{00000000-0002-0000-0000-000002000000}">
      <formula1>"Pendiente,Sí,No"</formula1>
      <formula2>0</formula2>
    </dataValidation>
    <dataValidation type="whole" sqref="I10" xr:uid="{00000000-0002-0000-0000-000003000000}">
      <formula1>1</formula1>
      <formula2>109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showGridLines="0" zoomScaleNormal="100" workbookViewId="0"/>
  </sheetViews>
  <sheetFormatPr baseColWidth="10" defaultColWidth="9" defaultRowHeight="15" x14ac:dyDescent="0.25"/>
  <cols>
    <col min="1" max="1" width="22" customWidth="1"/>
    <col min="2" max="2" width="31" customWidth="1"/>
    <col min="3" max="3" width="49" customWidth="1"/>
    <col min="4" max="4" width="18" customWidth="1"/>
    <col min="5" max="5" width="22" customWidth="1"/>
    <col min="6" max="6" width="55" customWidth="1"/>
  </cols>
  <sheetData>
    <row r="1" spans="1:6" ht="30" customHeight="1" x14ac:dyDescent="0.35">
      <c r="A1" s="3" t="s">
        <v>70</v>
      </c>
      <c r="B1" s="3"/>
      <c r="C1" s="3"/>
      <c r="D1" s="3"/>
      <c r="E1" s="3"/>
      <c r="F1" s="3"/>
    </row>
    <row r="2" spans="1:6" ht="25.5" customHeight="1" x14ac:dyDescent="0.25">
      <c r="A2" s="2" t="s">
        <v>71</v>
      </c>
      <c r="B2" s="2"/>
      <c r="C2" s="2"/>
      <c r="D2" s="2"/>
      <c r="E2" s="2"/>
      <c r="F2" s="2"/>
    </row>
    <row r="4" spans="1:6" ht="33.75" customHeight="1" x14ac:dyDescent="0.25">
      <c r="A4" s="23" t="s">
        <v>72</v>
      </c>
      <c r="B4" s="23" t="s">
        <v>73</v>
      </c>
      <c r="C4" s="23" t="s">
        <v>74</v>
      </c>
      <c r="D4" s="23" t="s">
        <v>75</v>
      </c>
      <c r="E4" s="23" t="s">
        <v>76</v>
      </c>
      <c r="F4" s="23" t="s">
        <v>77</v>
      </c>
    </row>
    <row r="5" spans="1:6" ht="63.75" customHeight="1" x14ac:dyDescent="0.25">
      <c r="A5" s="24">
        <v>1</v>
      </c>
      <c r="B5" s="25" t="s">
        <v>78</v>
      </c>
      <c r="C5" s="26" t="s">
        <v>79</v>
      </c>
      <c r="D5" s="27">
        <f>IF(Datos!I10="","",COUNTIF(Datos!D6:D23,"Aceptado")/Datos!I10)</f>
        <v>0.18072289156626506</v>
      </c>
      <c r="E5" s="26" t="s">
        <v>80</v>
      </c>
      <c r="F5" s="26" t="str">
        <f>IF(D5="","Pendiente: ingrese páginas y valide defectos",IF(D5&lt;0.1,"Densidad baja; revisar alcance inspeccionado",IF(D5&lt;=0.3,"Densidad moderada","Densidad alta; priorizar correcciones")))</f>
        <v>Densidad moderada</v>
      </c>
    </row>
    <row r="6" spans="1:6" ht="63.75" customHeight="1" x14ac:dyDescent="0.25">
      <c r="A6" s="24">
        <v>2</v>
      </c>
      <c r="B6" s="25" t="s">
        <v>81</v>
      </c>
      <c r="C6" s="26" t="s">
        <v>82</v>
      </c>
      <c r="D6" s="28">
        <f>IF(COUNTIF(Datos!I5:I7,"Pendiente")&gt;0,"",COUNTIF(Datos!I5:I7,"Confirmado")/COUNTA(Datos!H5:H7))</f>
        <v>1</v>
      </c>
      <c r="E6" s="26" t="s">
        <v>83</v>
      </c>
      <c r="F6" s="26" t="str">
        <f>IF(D6="","Pendiente: confirme los tres checklists",IF(D6=1,"Todos los integrantes realizaron preparación individual","Falta preparación individual de uno o más integrantes"))</f>
        <v>Todos los integrantes realizaron preparación individual</v>
      </c>
    </row>
    <row r="7" spans="1:6" ht="63.75" customHeight="1" x14ac:dyDescent="0.25">
      <c r="A7" s="24">
        <v>3</v>
      </c>
      <c r="B7" s="25" t="s">
        <v>84</v>
      </c>
      <c r="C7" s="26" t="s">
        <v>85</v>
      </c>
      <c r="D7" s="28">
        <f>IF((COUNTIFS(Datos!D6:D23,"Aceptado",Datos!C6:C23,"Crítico")+COUNTIFS(Datos!D6:D23,"Aceptado",Datos!C6:C23,"Mayor"))=0,"",(COUNTIFS(Datos!D6:D23,"Aceptado",Datos!C6:C23,"Crítico",Datos!E6:E23,"Corregido")+COUNTIFS(Datos!D6:D23,"Aceptado",Datos!C6:C23,"Mayor",Datos!E6:E23,"Corregido"))/(COUNTIFS(Datos!D6:D23,"Aceptado",Datos!C6:C23,"Crítico")+COUNTIFS(Datos!D6:D23,"Aceptado",Datos!C6:C23,"Mayor")))</f>
        <v>0.76923076923076927</v>
      </c>
      <c r="E7" s="26" t="s">
        <v>83</v>
      </c>
      <c r="F7" s="26" t="str">
        <f>IF(D7="","Pendiente: valide defectos críticos/mayores",IF(D7=1,"Se corrigió el 100 % de críticos y mayores aceptados","Aún existen críticos o mayores sin corregir"))</f>
        <v>Aún existen críticos o mayores sin corregir</v>
      </c>
    </row>
    <row r="8" spans="1:6" ht="63.75" customHeight="1" x14ac:dyDescent="0.25">
      <c r="A8" s="24">
        <v>4</v>
      </c>
      <c r="B8" s="25" t="s">
        <v>86</v>
      </c>
      <c r="C8" s="26" t="s">
        <v>87</v>
      </c>
      <c r="D8" s="29" t="str">
        <f>IF(COUNTIF(Datos!D6:D23,"Aceptado")=0,"Pendiente","Tabla 1")</f>
        <v>Tabla 1</v>
      </c>
      <c r="E8" s="26" t="s">
        <v>88</v>
      </c>
      <c r="F8" s="26" t="str">
        <f>IF(D8="Pendiente","Pendiente: aún no hay defectos aceptados","La tabla y el gráfico muestran los tipos predominantes")</f>
        <v>La tabla y el gráfico muestran los tipos predominantes</v>
      </c>
    </row>
    <row r="9" spans="1:6" ht="63.75" customHeight="1" x14ac:dyDescent="0.25">
      <c r="A9" s="24">
        <v>5</v>
      </c>
      <c r="B9" s="25" t="s">
        <v>89</v>
      </c>
      <c r="C9" s="26" t="s">
        <v>90</v>
      </c>
      <c r="D9" s="29" t="str">
        <f>IF(COUNTIF(Datos!D6:D23,"Aceptado")=0,"Pendiente","Tabla 2")</f>
        <v>Tabla 2</v>
      </c>
      <c r="E9" s="26" t="s">
        <v>91</v>
      </c>
      <c r="F9" s="26" t="str">
        <f>IF(D9="Pendiente","Pendiente: aún no hay defectos aceptados","La tabla y el gráfico muestran la severidad predominante")</f>
        <v>La tabla y el gráfico muestran la severidad predominante</v>
      </c>
    </row>
    <row r="10" spans="1:6" ht="30" x14ac:dyDescent="0.25">
      <c r="A10" s="24">
        <v>6</v>
      </c>
      <c r="B10" s="25" t="s">
        <v>92</v>
      </c>
      <c r="C10" s="26" t="s">
        <v>93</v>
      </c>
      <c r="D10" s="29" t="str">
        <f>IF(COUNTBLANK(Datos!G6:G23)&gt;0,"Pendiente","Tabla 3")</f>
        <v>Pendiente</v>
      </c>
      <c r="E10" s="26" t="s">
        <v>94</v>
      </c>
      <c r="F10" s="26" t="str">
        <f>IF(D10="Pendiente","Pendiente: asigne el proponente de cada defecto en la hoja Datos (columna G)","La tabla 3 muestra la tasa de detección de cada inspector")</f>
        <v>Pendiente: asigne el proponente de cada defecto en la hoja Datos (columna G)</v>
      </c>
    </row>
    <row r="11" spans="1:6" ht="30" x14ac:dyDescent="0.25">
      <c r="A11" s="24">
        <v>7</v>
      </c>
      <c r="B11" s="25" t="s">
        <v>95</v>
      </c>
      <c r="C11" s="26" t="s">
        <v>96</v>
      </c>
      <c r="D11" s="29" t="str">
        <f>IF(OR(Datos!I19="",Datos!I20="",Datos!I21="",Datos!I22=""),"",Datos!I19+Datos!I20+Datos!I21+(Datos!I22*COUNTA(Datos!H5:H7)))</f>
        <v/>
      </c>
      <c r="E11" s="26" t="s">
        <v>80</v>
      </c>
      <c r="F11" s="26" t="str">
        <f>IF(D11="","Pendiente: registre las horas de preparación y la duración de la reunión",CONCATENATE("Esfuerzo total estimado: ",TEXT(D11,"0.0")," horas-persona"))</f>
        <v>Pendiente: registre las horas de preparación y la duración de la reunión</v>
      </c>
    </row>
    <row r="12" spans="1:6" ht="27" customHeight="1" x14ac:dyDescent="0.25">
      <c r="A12" s="23" t="s">
        <v>5</v>
      </c>
      <c r="B12" s="23" t="s">
        <v>97</v>
      </c>
      <c r="C12" s="23" t="s">
        <v>98</v>
      </c>
      <c r="D12" s="23" t="s">
        <v>99</v>
      </c>
    </row>
    <row r="13" spans="1:6" ht="27" customHeight="1" x14ac:dyDescent="0.25">
      <c r="A13" s="30" t="s">
        <v>24</v>
      </c>
      <c r="B13" s="30">
        <f>COUNTIFS(Datos!B6:B23,A13,Datos!D6:D23,"Aceptado")</f>
        <v>3</v>
      </c>
      <c r="C13" s="31">
        <f>IF(COUNTIF(Datos!D6:D23,"Aceptado")=0,"",B13/COUNTIF(Datos!D6:D23,"Aceptado"))</f>
        <v>0.2</v>
      </c>
      <c r="D13" s="30">
        <f>COUNTIF(Datos!B6:B23,A13)</f>
        <v>3</v>
      </c>
    </row>
    <row r="14" spans="1:6" ht="27" customHeight="1" x14ac:dyDescent="0.25">
      <c r="A14" s="30" t="s">
        <v>20</v>
      </c>
      <c r="B14" s="30">
        <f>COUNTIFS(Datos!B6:B23,A14,Datos!D6:D23,"Aceptado")</f>
        <v>3</v>
      </c>
      <c r="C14" s="31">
        <f>IF(COUNTIF(Datos!D6:D23,"Aceptado")=0,"",B14/COUNTIF(Datos!D6:D23,"Aceptado"))</f>
        <v>0.2</v>
      </c>
      <c r="D14" s="30">
        <f>COUNTIF(Datos!B6:B23,A14)</f>
        <v>3</v>
      </c>
    </row>
    <row r="15" spans="1:6" ht="27" customHeight="1" x14ac:dyDescent="0.25">
      <c r="A15" s="30" t="s">
        <v>13</v>
      </c>
      <c r="B15" s="30">
        <f>COUNTIFS(Datos!B6:B23,A15,Datos!D6:D23,"Aceptado")</f>
        <v>3</v>
      </c>
      <c r="C15" s="31">
        <f>IF(COUNTIF(Datos!D6:D23,"Aceptado")=0,"",B15/COUNTIF(Datos!D6:D23,"Aceptado"))</f>
        <v>0.2</v>
      </c>
      <c r="D15" s="30">
        <f>COUNTIF(Datos!B6:B23,A15)</f>
        <v>3</v>
      </c>
    </row>
    <row r="16" spans="1:6" ht="27" customHeight="1" x14ac:dyDescent="0.25">
      <c r="A16" s="30" t="s">
        <v>33</v>
      </c>
      <c r="B16" s="30">
        <f>COUNTIFS(Datos!B6:B23,A16,Datos!D6:D23,"Aceptado")</f>
        <v>2</v>
      </c>
      <c r="C16" s="31">
        <f>IF(COUNTIF(Datos!D6:D23,"Aceptado")=0,"",B16/COUNTIF(Datos!D6:D23,"Aceptado"))</f>
        <v>0.13333333333333333</v>
      </c>
      <c r="D16" s="30">
        <f>COUNTIF(Datos!B6:B23,A16)</f>
        <v>3</v>
      </c>
    </row>
    <row r="17" spans="1:4" ht="27" customHeight="1" x14ac:dyDescent="0.25">
      <c r="A17" s="30" t="s">
        <v>28</v>
      </c>
      <c r="B17" s="30">
        <f>COUNTIFS(Datos!B6:B23,A17,Datos!D6:D23,"Aceptado")</f>
        <v>2</v>
      </c>
      <c r="C17" s="31">
        <f>IF(COUNTIF(Datos!D6:D23,"Aceptado")=0,"",B17/COUNTIF(Datos!D6:D23,"Aceptado"))</f>
        <v>0.13333333333333333</v>
      </c>
      <c r="D17" s="30">
        <f>COUNTIF(Datos!B6:B23,A17)</f>
        <v>3</v>
      </c>
    </row>
    <row r="18" spans="1:4" ht="27" customHeight="1" x14ac:dyDescent="0.25">
      <c r="A18" s="30" t="s">
        <v>37</v>
      </c>
      <c r="B18" s="30">
        <f>COUNTIFS(Datos!B6:B23,A18,Datos!D6:D23,"Aceptado")</f>
        <v>2</v>
      </c>
      <c r="C18" s="31">
        <f>IF(COUNTIF(Datos!D6:D23,"Aceptado")=0,"",B18/COUNTIF(Datos!D6:D23,"Aceptado"))</f>
        <v>0.13333333333333333</v>
      </c>
      <c r="D18" s="30">
        <f>COUNTIF(Datos!B6:B23,A18)</f>
        <v>3</v>
      </c>
    </row>
    <row r="19" spans="1:4" ht="27" customHeight="1" x14ac:dyDescent="0.25"/>
    <row r="20" spans="1:4" ht="27" customHeight="1" x14ac:dyDescent="0.25"/>
    <row r="21" spans="1:4" ht="27" customHeight="1" x14ac:dyDescent="0.25">
      <c r="A21" s="23" t="s">
        <v>6</v>
      </c>
      <c r="B21" s="23" t="s">
        <v>97</v>
      </c>
      <c r="C21" s="23" t="s">
        <v>98</v>
      </c>
      <c r="D21" s="23" t="s">
        <v>99</v>
      </c>
    </row>
    <row r="22" spans="1:4" ht="27" customHeight="1" x14ac:dyDescent="0.25">
      <c r="A22" s="30" t="s">
        <v>42</v>
      </c>
      <c r="B22" s="30">
        <f>COUNTIFS(Datos!C6:C23,A22,Datos!D6:D23,"Aceptado")</f>
        <v>3</v>
      </c>
      <c r="C22" s="31">
        <f>IF(COUNTIF(Datos!D6:D23,"Aceptado")=0,"",B22/COUNTIF(Datos!D6:D23,"Aceptado"))</f>
        <v>0.2</v>
      </c>
      <c r="D22" s="30">
        <f>COUNTIF(Datos!C6:C23,A22)</f>
        <v>4</v>
      </c>
    </row>
    <row r="23" spans="1:4" ht="27" customHeight="1" x14ac:dyDescent="0.25">
      <c r="A23" s="30" t="s">
        <v>14</v>
      </c>
      <c r="B23" s="30">
        <f>COUNTIFS(Datos!C6:C23,A23,Datos!D6:D23,"Aceptado")</f>
        <v>10</v>
      </c>
      <c r="C23" s="31">
        <f>IF(COUNTIF(Datos!D6:D23,"Aceptado")=0,"",B23/COUNTIF(Datos!D6:D23,"Aceptado"))</f>
        <v>0.66666666666666663</v>
      </c>
      <c r="D23" s="30">
        <f>COUNTIF(Datos!C6:C23,A23)</f>
        <v>12</v>
      </c>
    </row>
    <row r="24" spans="1:4" ht="27" customHeight="1" x14ac:dyDescent="0.25">
      <c r="A24" s="30" t="s">
        <v>25</v>
      </c>
      <c r="B24" s="30">
        <f>COUNTIFS(Datos!C6:C23,A24,Datos!D6:D23,"Aceptado")</f>
        <v>2</v>
      </c>
      <c r="C24" s="31">
        <f>IF(COUNTIF(Datos!D6:D23,"Aceptado")=0,"",B24/COUNTIF(Datos!D6:D23,"Aceptado"))</f>
        <v>0.13333333333333333</v>
      </c>
      <c r="D24" s="30">
        <f>COUNTIF(Datos!C6:C23,A24)</f>
        <v>2</v>
      </c>
    </row>
    <row r="27" spans="1:4" x14ac:dyDescent="0.25">
      <c r="A27" s="23" t="s">
        <v>2</v>
      </c>
      <c r="B27" s="23" t="s">
        <v>44</v>
      </c>
      <c r="C27" s="23" t="s">
        <v>97</v>
      </c>
      <c r="D27" s="23" t="s">
        <v>100</v>
      </c>
    </row>
    <row r="28" spans="1:4" x14ac:dyDescent="0.25">
      <c r="A28" s="30" t="s">
        <v>10</v>
      </c>
      <c r="B28" s="30">
        <f>Datos!I14</f>
        <v>6</v>
      </c>
      <c r="C28" s="31">
        <f>COUNTIFS(Datos!G6:G23,Datos!H5,Datos!D6:D23,"Aceptado")</f>
        <v>0</v>
      </c>
      <c r="D28" s="31">
        <f>IF(B28=0,"",C28/B28)</f>
        <v>0</v>
      </c>
    </row>
    <row r="29" spans="1:4" x14ac:dyDescent="0.25">
      <c r="A29" s="30" t="s">
        <v>18</v>
      </c>
      <c r="B29" s="30">
        <f>Datos!I15</f>
        <v>6</v>
      </c>
      <c r="C29" s="31">
        <f>COUNTIFS(Datos!G6:G23,Datos!H6,Datos!D6:D23,"Aceptado")</f>
        <v>0</v>
      </c>
      <c r="D29" s="31">
        <f>IF(B29=0,"",C29/B29)</f>
        <v>0</v>
      </c>
    </row>
    <row r="30" spans="1:4" x14ac:dyDescent="0.25">
      <c r="A30" s="30" t="s">
        <v>22</v>
      </c>
      <c r="B30" s="30">
        <f>Datos!I16</f>
        <v>6</v>
      </c>
      <c r="C30" s="31">
        <f>COUNTIFS(Datos!G6:G23,Datos!H7,Datos!D6:D23,"Aceptado")</f>
        <v>0</v>
      </c>
      <c r="D30" s="31">
        <f>IF(B30=0,"",C30/B30)</f>
        <v>0</v>
      </c>
    </row>
  </sheetData>
  <mergeCells count="2">
    <mergeCell ref="A1:F1"/>
    <mergeCell ref="A2:F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showGridLines="0" zoomScaleNormal="100" workbookViewId="0"/>
  </sheetViews>
  <sheetFormatPr baseColWidth="10" defaultColWidth="9" defaultRowHeight="15" x14ac:dyDescent="0.25"/>
  <cols>
    <col min="1" max="3" width="18" customWidth="1"/>
    <col min="8" max="10" width="18" customWidth="1"/>
  </cols>
  <sheetData>
    <row r="1" spans="1:14" ht="30" customHeight="1" x14ac:dyDescent="0.35">
      <c r="A1" s="3" t="s">
        <v>101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4.75" customHeight="1" x14ac:dyDescent="0.25">
      <c r="A2" s="1" t="s">
        <v>102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15" customHeight="1" x14ac:dyDescent="0.25">
      <c r="A4" s="32" t="s">
        <v>5</v>
      </c>
      <c r="B4" s="32" t="s">
        <v>99</v>
      </c>
      <c r="C4" s="32" t="s">
        <v>97</v>
      </c>
      <c r="H4" s="32" t="s">
        <v>6</v>
      </c>
      <c r="I4" s="32" t="s">
        <v>99</v>
      </c>
      <c r="J4" s="32" t="s">
        <v>97</v>
      </c>
    </row>
    <row r="5" spans="1:14" x14ac:dyDescent="0.25">
      <c r="A5" s="33" t="str">
        <f>Metricas!A13</f>
        <v>Ambigüedad</v>
      </c>
      <c r="B5" s="33">
        <f>Metricas!D13</f>
        <v>3</v>
      </c>
      <c r="C5" s="33">
        <f>Metricas!B13</f>
        <v>3</v>
      </c>
      <c r="H5" s="33" t="str">
        <f>Metricas!A22</f>
        <v>Crítico</v>
      </c>
      <c r="I5" s="33">
        <f>Metricas!D22</f>
        <v>4</v>
      </c>
      <c r="J5" s="33">
        <f>Metricas!B22</f>
        <v>3</v>
      </c>
    </row>
    <row r="6" spans="1:14" x14ac:dyDescent="0.25">
      <c r="A6" s="33" t="str">
        <f>Metricas!A14</f>
        <v>Completitud</v>
      </c>
      <c r="B6" s="33">
        <f>Metricas!D14</f>
        <v>3</v>
      </c>
      <c r="C6" s="33">
        <f>Metricas!B14</f>
        <v>3</v>
      </c>
      <c r="H6" s="33" t="str">
        <f>Metricas!A23</f>
        <v>Mayor</v>
      </c>
      <c r="I6" s="33">
        <f>Metricas!D23</f>
        <v>12</v>
      </c>
      <c r="J6" s="33">
        <f>Metricas!B23</f>
        <v>10</v>
      </c>
    </row>
    <row r="7" spans="1:14" x14ac:dyDescent="0.25">
      <c r="A7" s="33" t="str">
        <f>Metricas!A15</f>
        <v>Consistencia</v>
      </c>
      <c r="B7" s="33">
        <f>Metricas!D15</f>
        <v>3</v>
      </c>
      <c r="C7" s="33">
        <f>Metricas!B15</f>
        <v>3</v>
      </c>
      <c r="H7" s="33" t="str">
        <f>Metricas!A24</f>
        <v>Menor</v>
      </c>
      <c r="I7" s="33">
        <f>Metricas!D24</f>
        <v>2</v>
      </c>
      <c r="J7" s="33">
        <f>Metricas!B24</f>
        <v>2</v>
      </c>
    </row>
    <row r="8" spans="1:14" x14ac:dyDescent="0.25">
      <c r="A8" s="33" t="str">
        <f>Metricas!A16</f>
        <v>Verificabilidad</v>
      </c>
      <c r="B8" s="33">
        <f>Metricas!D16</f>
        <v>3</v>
      </c>
      <c r="C8" s="33">
        <f>Metricas!B16</f>
        <v>2</v>
      </c>
    </row>
    <row r="9" spans="1:14" x14ac:dyDescent="0.25">
      <c r="A9" s="33" t="str">
        <f>Metricas!A17</f>
        <v>Trazabilidad</v>
      </c>
      <c r="B9" s="33">
        <f>Metricas!D17</f>
        <v>3</v>
      </c>
      <c r="C9" s="33">
        <f>Metricas!B17</f>
        <v>2</v>
      </c>
    </row>
    <row r="10" spans="1:14" x14ac:dyDescent="0.25">
      <c r="A10" s="33" t="str">
        <f>Metricas!A18</f>
        <v>Factibilidad</v>
      </c>
      <c r="B10" s="33">
        <f>Metricas!D18</f>
        <v>3</v>
      </c>
      <c r="C10" s="33">
        <f>Metricas!B18</f>
        <v>2</v>
      </c>
    </row>
  </sheetData>
  <mergeCells count="2">
    <mergeCell ref="A1:N1"/>
    <mergeCell ref="A2:N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Metricas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TIGASI SAMPEDRO  PAUL ALEXANDER</cp:lastModifiedBy>
  <cp:revision>1</cp:revision>
  <dcterms:created xsi:type="dcterms:W3CDTF">2026-08-05T06:25:14Z</dcterms:created>
  <dcterms:modified xsi:type="dcterms:W3CDTF">2026-08-06T03:18:07Z</dcterms:modified>
  <dc:language>en-US</dc:language>
</cp:coreProperties>
</file>