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PE4_Paquete_Actualizado\02_Inspeccion\"/>
    </mc:Choice>
  </mc:AlternateContent>
  <xr:revisionPtr revIDLastSave="0" documentId="13_ncr:1_{580E41CB-1DF5-404E-93BB-4F37E3C153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_defectos" sheetId="1" r:id="rId1"/>
    <sheet name="Resumen" sheetId="2" r:id="rId2"/>
    <sheet name="Catalogos" sheetId="3" r:id="rId3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2" l="1"/>
  <c r="F16" i="2"/>
  <c r="G15" i="2"/>
  <c r="F15" i="2"/>
  <c r="G14" i="2"/>
  <c r="F14" i="2"/>
  <c r="B14" i="2"/>
  <c r="B13" i="2"/>
  <c r="G10" i="2"/>
  <c r="F10" i="2"/>
  <c r="G9" i="2"/>
  <c r="F9" i="2"/>
  <c r="G8" i="2"/>
  <c r="F8" i="2"/>
  <c r="B8" i="2"/>
  <c r="G7" i="2"/>
  <c r="F7" i="2"/>
  <c r="B7" i="2"/>
  <c r="G6" i="2"/>
  <c r="F6" i="2"/>
  <c r="B6" i="2"/>
  <c r="G5" i="2"/>
  <c r="F5" i="2"/>
  <c r="B5" i="2"/>
  <c r="B9" i="2" l="1"/>
  <c r="B10" i="2" s="1"/>
  <c r="B1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tc={9FA44241-4C4F-A051-EE6D-30B571263FB1}</author>
  </authors>
  <commentList>
    <comment ref="L6" authorId="0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Fuente de verificación: Archivo_LateX_V3_IR.pdf, Entrega 3 (2A), revisión interna 3.1, 109 páginas. Los hallazgos son candidatos hasta la reunión Fagan.</t>
        </r>
      </text>
    </comment>
  </commentList>
</comments>
</file>

<file path=xl/sharedStrings.xml><?xml version="1.0" encoding="utf-8"?>
<sst xmlns="http://schemas.openxmlformats.org/spreadsheetml/2006/main" count="311" uniqueCount="170">
  <si>
    <t>ANEXO B — REGISTRO CONSOLIDADO DE DEFECTOS</t>
  </si>
  <si>
    <t>ERS_v1.1 - SICM / MediCita - Inspección Fagan PE4 - sincronizado con Jira SGICM</t>
  </si>
  <si>
    <t>INSTRUCCIÓN: durante la reunión cambie “Decisión Fagan” a Aceptado, Duplicado o Rechazado. Complete Estado, Corrección, Commit y Evidencia únicamente con datos reales.</t>
  </si>
  <si>
    <t>ID</t>
  </si>
  <si>
    <t>Sección</t>
  </si>
  <si>
    <t>Requisito</t>
  </si>
  <si>
    <t>Descripción</t>
  </si>
  <si>
    <t>Tipo</t>
  </si>
  <si>
    <t>Severidad</t>
  </si>
  <si>
    <t>Encontrado por</t>
  </si>
  <si>
    <t>Responsable</t>
  </si>
  <si>
    <t>Estado</t>
  </si>
  <si>
    <t>Corrección</t>
  </si>
  <si>
    <t>Commit</t>
  </si>
  <si>
    <t>Evidencia</t>
  </si>
  <si>
    <t>Decisión Fagan</t>
  </si>
  <si>
    <t>Fecha validación</t>
  </si>
  <si>
    <t>DEF-01</t>
  </si>
  <si>
    <t>Control de versiones</t>
  </si>
  <si>
    <t>ERS</t>
  </si>
  <si>
    <t>El nombre externo del archivo indica v1.0, pero el historial interno registra la revisión 3.1 del 01/08/2026.</t>
  </si>
  <si>
    <t>Consistencia</t>
  </si>
  <si>
    <t>Mayor</t>
  </si>
  <si>
    <t>Steven Santiago Díaz Pontón</t>
  </si>
  <si>
    <t>Corregido</t>
  </si>
  <si>
    <t>Unificar nombre, portada, historial, README, CHANGELOG y tag con la versión aprobada.</t>
  </si>
  <si>
    <t>Registrar hash real antes de entregar</t>
  </si>
  <si>
    <t>Jira SGICM-67 - estado Listo</t>
  </si>
  <si>
    <t>Aceptado</t>
  </si>
  <si>
    <t>DEF-02</t>
  </si>
  <si>
    <t>Catálogo de requisitos</t>
  </si>
  <si>
    <t>RF-01 / RF-14</t>
  </si>
  <si>
    <t>RF-01 declara RF-14 fusionado, pero RF-14 conserva una ficha independiente.</t>
  </si>
  <si>
    <t>Completitud</t>
  </si>
  <si>
    <t>Paul Alexander Tigasi Sampedro</t>
  </si>
  <si>
    <t>Decidir un identificador vigente y actualizar catálogo, matriz y referencias cruzadas.</t>
  </si>
  <si>
    <t>Jira SGICM-68 - estado Listo</t>
  </si>
  <si>
    <t>DEF-03</t>
  </si>
  <si>
    <t>Especificación funcional</t>
  </si>
  <si>
    <t>RF-01</t>
  </si>
  <si>
    <t>El criterio exige digitalizar 80 % de formularios físicos sin identificar el universo total ni su fecha de corte.</t>
  </si>
  <si>
    <t>Ambigüedad</t>
  </si>
  <si>
    <t>Menor</t>
  </si>
  <si>
    <t>Anthony Alfredo Vera Gómez</t>
  </si>
  <si>
    <t>Adjuntar inventario base de formularios y fórmula de cobertura.</t>
  </si>
  <si>
    <t>Jira SGICM-69 - estado Listo</t>
  </si>
  <si>
    <t>DEF-04</t>
  </si>
  <si>
    <t>Catálogo y matriz</t>
  </si>
  <si>
    <t>RF-15 / RF-31 / RF-32</t>
  </si>
  <si>
    <t>RF-15 declara fusionados RF-31 y RF-32, pero ambos requisitos mantienen fichas y relaciones propias.</t>
  </si>
  <si>
    <t>Trazabilidad</t>
  </si>
  <si>
    <t>Separar formalmente los alcances o retirar identificadores fusionados y redirigir sus relaciones.</t>
  </si>
  <si>
    <t>Jira SGICM-70 - estado Listo</t>
  </si>
  <si>
    <t>DEF-05</t>
  </si>
  <si>
    <t>Criterio de verificación</t>
  </si>
  <si>
    <t>RF-18</t>
  </si>
  <si>
    <t>La actualización menor a un minuto no define evento inicial, punto de observación, carga ni método de medición.</t>
  </si>
  <si>
    <t>Verificabilidad</t>
  </si>
  <si>
    <t>Especificar escenario, reloj, carga, entorno y criterio de aceptación.</t>
  </si>
  <si>
    <t>Jira SGICM-71 - estado Listo</t>
  </si>
  <si>
    <t>DEF-06</t>
  </si>
  <si>
    <t>RF-21</t>
  </si>
  <si>
    <t>RF-21 dependía de autorización de un servicio externo que no forma parte del alcance del sistema.</t>
  </si>
  <si>
    <t>Factibilidad</t>
  </si>
  <si>
    <t>Redefinir RF-21 como generación de comprobante interno de pago, sin integración con servicios externos.</t>
  </si>
  <si>
    <t>Jira SGICM-72 - estado Listo</t>
  </si>
  <si>
    <t>DEF-07</t>
  </si>
  <si>
    <t>Flujo de agendamiento</t>
  </si>
  <si>
    <t>RF-02</t>
  </si>
  <si>
    <t>RF-02 mezcla citas por fecha y hora con atención por orden de llegada sin establecer una regla de prioridad.</t>
  </si>
  <si>
    <t>Separar los flujos o definir prioridad, excepciones y estados de cada modalidad.</t>
  </si>
  <si>
    <t>Jira SGICM-73 - estado Listo</t>
  </si>
  <si>
    <t>DEF-08</t>
  </si>
  <si>
    <t>Modelado UML</t>
  </si>
  <si>
    <t>Sección 4.3</t>
  </si>
  <si>
    <t>El ERS se declara consolidado, pero los archivos fuente UML y sus exportaciones PNG/SVG siguen pendientes.</t>
  </si>
  <si>
    <t>Crítico</t>
  </si>
  <si>
    <t>Crear diagramas en una herramienta CASE, exportarlos y enlazar archivos fuente e imágenes.</t>
  </si>
  <si>
    <t>Jira SGICM-74 - estado Listo</t>
  </si>
  <si>
    <t>DEF-09</t>
  </si>
  <si>
    <t>RF-18 / RF-19</t>
  </si>
  <si>
    <t>RF-18 declara RF-19 fusionado, pero RF-19 permanece como requisito autónomo.</t>
  </si>
  <si>
    <t>Conservar un identificador o delimitar claramente asignación y consulta de disponibilidad.</t>
  </si>
  <si>
    <t>Jira SGICM-75 - estado Listo</t>
  </si>
  <si>
    <t>DEF-10</t>
  </si>
  <si>
    <t>RF-24</t>
  </si>
  <si>
    <t>La propagación del cambio en dos segundos no especifica carga, red, datos ni puntos de medición.</t>
  </si>
  <si>
    <t>Agregar escenario, infraestructura, inicio y fin de medición y repeticiones.</t>
  </si>
  <si>
    <t>Jira SGICM-76 - estado Listo</t>
  </si>
  <si>
    <t>DEF-11</t>
  </si>
  <si>
    <t>Matriz de trazabilidad</t>
  </si>
  <si>
    <t>La matriz enlaza RF-02 con MU-30, pero el mockup no aparece entre los artefactos verificados.</t>
  </si>
  <si>
    <t>Crear y versionar MU-30 o corregir la relación hacia el mockup real.</t>
  </si>
  <si>
    <t>Jira SGICM-77 - estado Listo</t>
  </si>
  <si>
    <t>DEF-12</t>
  </si>
  <si>
    <t>Requisitos no funcionales</t>
  </si>
  <si>
    <t>RNF-14</t>
  </si>
  <si>
    <t>Se exige funcionamiento estable en 100 % de equipos actuales sin inventario técnico ni definición de estabilidad.</t>
  </si>
  <si>
    <t>Incluir inventario, configuraciones compatibles, duración de prueba y umbral de estabilidad.</t>
  </si>
  <si>
    <t>Jira SGICM-78 - estado Listo</t>
  </si>
  <si>
    <t>DEF-13</t>
  </si>
  <si>
    <t>RNF-11</t>
  </si>
  <si>
    <t>La expresión “enfermería ¡-¿ otras áreas” contiene símbolos corruptos y no define la dirección de propagación.</t>
  </si>
  <si>
    <t>Sustituir el símbolo y definir módulos origen, destino y dirección del intercambio.</t>
  </si>
  <si>
    <t>Jira SGICM-79 - estado Listo</t>
  </si>
  <si>
    <t>DEF-14</t>
  </si>
  <si>
    <t>Validación empírica</t>
  </si>
  <si>
    <t>RNF-18</t>
  </si>
  <si>
    <t>La validación con dos rondas y seis participantes por ronda se declara pendiente de ejecución.</t>
  </si>
  <si>
    <t>Ejecutar las rondas, conservar datos anonimizados y documentar el resultado del criterio.</t>
  </si>
  <si>
    <t>Jira SGICM-80 - estado Listo</t>
  </si>
  <si>
    <t>DEF-15</t>
  </si>
  <si>
    <t>RF-22 / RF-33</t>
  </si>
  <si>
    <t>RF-22 declara RF-33 fusionado, pero RF-33 conserva ficha independiente.</t>
  </si>
  <si>
    <t>Eliminar la duplicidad o diferenciar pago financiero y habilitación operativa por área.</t>
  </si>
  <si>
    <t>Jira SGICM-81 - estado Listo</t>
  </si>
  <si>
    <t>DEF-16</t>
  </si>
  <si>
    <t>RNF-16</t>
  </si>
  <si>
    <t>Las auditorías periódicas no especifican frecuencia, muestra, fuente de registros ni procedimiento.</t>
  </si>
  <si>
    <t>No incorporado</t>
  </si>
  <si>
    <t>Definir periodicidad, muestra, responsable, fuente y procedimiento de auditoría.</t>
  </si>
  <si>
    <t>Archivo_LateX_V3_IR.pdf: p. 41</t>
  </si>
  <si>
    <t>Rechazado / no consolidado</t>
  </si>
  <si>
    <t>DEF-17</t>
  </si>
  <si>
    <t>RF-11 / RF-16 / RNF-18</t>
  </si>
  <si>
    <t>La matriz enlaza MU-31 y MU-32, pero los mockups no aparecen entre los artefactos verificados.</t>
  </si>
  <si>
    <t>Incorporar los mockups o corregir los identificadores y enlaces relativos.</t>
  </si>
  <si>
    <t>Archivo_LateX_V3_IR.pdf: pp. 82 y 84</t>
  </si>
  <si>
    <t>DEF-18</t>
  </si>
  <si>
    <t>La producción de diagramas depende de herramientas CASE sin licencia, responsable ni alternativa reproducible acreditada.</t>
  </si>
  <si>
    <t>Definir herramienta, responsable, fecha, formato fuente y alternativa como PlantUML.</t>
  </si>
  <si>
    <t>Archivo_LateX_V3_IR.pdf: p. 67</t>
  </si>
  <si>
    <t>CONTROL DE CUMPLIMIENTO — INSPECCIÓN FAGAN</t>
  </si>
  <si>
    <t>Los indicadores se actualizan al editar la columna “Decisión Fagan” y el “Estado” del registro.</t>
  </si>
  <si>
    <t>Indicador</t>
  </si>
  <si>
    <t>Resultado</t>
  </si>
  <si>
    <t>Criterio</t>
  </si>
  <si>
    <t>Aceptados</t>
  </si>
  <si>
    <t>Total candidato</t>
  </si>
  <si>
    <t>Hallazgos registrados</t>
  </si>
  <si>
    <t>Información</t>
  </si>
  <si>
    <t>Defectos únicos aceptados</t>
  </si>
  <si>
    <t>≥ 15</t>
  </si>
  <si>
    <t>Aceptados críticos o mayores</t>
  </si>
  <si>
    <t>≥ 3</t>
  </si>
  <si>
    <t>Críticos/mayores corregidos</t>
  </si>
  <si>
    <t>Igual al total crítico/mayor</t>
  </si>
  <si>
    <t>Tasa de corrección crítica/mayor</t>
  </si>
  <si>
    <t>100 %</t>
  </si>
  <si>
    <t>Estado general</t>
  </si>
  <si>
    <t>Todos los criterios anteriores</t>
  </si>
  <si>
    <t>Comprobación</t>
  </si>
  <si>
    <t>Interpretación</t>
  </si>
  <si>
    <t>Mínimo 15 aceptados</t>
  </si>
  <si>
    <t>Validar al menos quince defectos únicos en la reunión.</t>
  </si>
  <si>
    <t>Mínimo 3 críticos/mayores</t>
  </si>
  <si>
    <t>Confirmar severidad y conservar al menos tres críticos o mayores.</t>
  </si>
  <si>
    <t>100 % críticos/mayores corregidos</t>
  </si>
  <si>
    <t>Corregir todos los críticos y mayores aceptados y registrar commit y evidencia.</t>
  </si>
  <si>
    <t>Tipos</t>
  </si>
  <si>
    <t>Severidades</t>
  </si>
  <si>
    <t>Estados</t>
  </si>
  <si>
    <t>Decisiones Fagan</t>
  </si>
  <si>
    <t>Pendiente de validación</t>
  </si>
  <si>
    <t>Pendiente</t>
  </si>
  <si>
    <t>Abierto</t>
  </si>
  <si>
    <t>En corrección</t>
  </si>
  <si>
    <t>Duplicado</t>
  </si>
  <si>
    <t>Rechazado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</si>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</sst>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1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b/>
      <sz val="11"/>
      <color rgb="FF1F2937"/>
      <name val="Carlito"/>
    </font>
    <font>
      <b/>
      <sz val="16"/>
      <color rgb="FFFFFFFF"/>
      <name val="Times New Roman"/>
      <family val="1"/>
    </font>
    <font>
      <sz val="11"/>
      <name val="Times New Roman"/>
      <family val="1"/>
    </font>
    <font>
      <b/>
      <sz val="10"/>
      <color rgb="FF1F2937"/>
      <name val="Times New Roman"/>
      <family val="1"/>
    </font>
    <font>
      <b/>
      <sz val="10"/>
      <color rgb="FF7F6000"/>
      <name val="Times New Roman"/>
      <family val="1"/>
    </font>
    <font>
      <sz val="9"/>
      <color rgb="FF1F2937"/>
      <name val="Times New Roman"/>
      <family val="1"/>
    </font>
    <font>
      <b/>
      <sz val="12"/>
      <color rgb="FFFFFFFF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2" xfId="0" applyNumberFormat="1" applyFont="1" applyFill="1" applyBorder="1"/>
    <xf numFmtId="0" fontId="0" fillId="0" borderId="2" xfId="0" applyNumberFormat="1" applyFont="1" applyFill="1" applyBorder="1"/>
    <xf numFmtId="0" fontId="2" fillId="5" borderId="1" xfId="0" applyNumberFormat="1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vertical="center" wrapText="1"/>
    </xf>
    <xf numFmtId="165" fontId="0" fillId="0" borderId="2" xfId="0" applyNumberFormat="1" applyFont="1" applyFill="1" applyBorder="1" applyAlignment="1">
      <alignment vertical="center" wrapText="1"/>
    </xf>
    <xf numFmtId="0" fontId="4" fillId="6" borderId="2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/>
    </xf>
    <xf numFmtId="0" fontId="3" fillId="3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3" borderId="0" xfId="0" applyNumberFormat="1" applyFont="1" applyFill="1" applyBorder="1" applyAlignment="1">
      <alignment horizontal="center"/>
    </xf>
    <xf numFmtId="0" fontId="9" fillId="8" borderId="3" xfId="0" applyNumberFormat="1" applyFont="1" applyFill="1" applyBorder="1" applyAlignment="1">
      <alignment horizontal="center" vertical="top" wrapText="1"/>
    </xf>
    <xf numFmtId="0" fontId="9" fillId="8" borderId="3" xfId="0" applyNumberFormat="1" applyFont="1" applyFill="1" applyBorder="1" applyAlignment="1">
      <alignment vertical="top" wrapText="1"/>
    </xf>
    <xf numFmtId="164" fontId="9" fillId="8" borderId="3" xfId="0" applyNumberFormat="1" applyFont="1" applyFill="1" applyBorder="1" applyAlignment="1">
      <alignment horizontal="center" vertical="top" wrapText="1"/>
    </xf>
    <xf numFmtId="0" fontId="10" fillId="7" borderId="4" xfId="0" applyNumberFormat="1" applyFont="1" applyFill="1" applyBorder="1" applyAlignment="1">
      <alignment horizontal="center" vertical="center" wrapText="1"/>
    </xf>
    <xf numFmtId="0" fontId="8" fillId="4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2"/>
        <color rgb="FFFFFFFF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6475c44df8ce4c94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228600</xdr:colOff>
      <xdr:row>12</xdr:row>
      <xdr:rowOff>809625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F26EE629-B15E-6FB2-3B3E-A118402D4F3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Equipo SICM" id="{3934E4E5-ACAC-4B66-8320-D2E54CDB4735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Defectos" displayName="RegistroDefectos" ref="A5:N23" totalsRowShown="0" headerRowDxfId="0" dataDxfId="15">
  <tableColumns count="14">
    <tableColumn id="1" xr3:uid="{00000000-0010-0000-0000-000001000000}" name="ID" dataDxfId="14"/>
    <tableColumn id="2" xr3:uid="{00000000-0010-0000-0000-000002000000}" name="Sección" dataDxfId="13"/>
    <tableColumn id="3" xr3:uid="{00000000-0010-0000-0000-000003000000}" name="Requisito" dataDxfId="12"/>
    <tableColumn id="4" xr3:uid="{00000000-0010-0000-0000-000004000000}" name="Descripción" dataDxfId="11"/>
    <tableColumn id="5" xr3:uid="{00000000-0010-0000-0000-000005000000}" name="Tipo" dataDxfId="10"/>
    <tableColumn id="6" xr3:uid="{00000000-0010-0000-0000-000006000000}" name="Severidad" dataDxfId="9"/>
    <tableColumn id="7" xr3:uid="{00000000-0010-0000-0000-000007000000}" name="Encontrado por" dataDxfId="8"/>
    <tableColumn id="8" xr3:uid="{00000000-0010-0000-0000-000008000000}" name="Responsable" dataDxfId="7"/>
    <tableColumn id="9" xr3:uid="{00000000-0010-0000-0000-000009000000}" name="Estado" dataDxfId="6"/>
    <tableColumn id="10" xr3:uid="{00000000-0010-0000-0000-00000A000000}" name="Corrección" dataDxfId="5"/>
    <tableColumn id="11" xr3:uid="{00000000-0010-0000-0000-00000B000000}" name="Commit" dataDxfId="4"/>
    <tableColumn id="12" xr3:uid="{00000000-0010-0000-0000-00000C000000}" name="Evidencia" dataDxfId="3"/>
    <tableColumn id="13" xr3:uid="{00000000-0010-0000-0000-00000D000000}" name="Decisión Fagan" dataDxfId="2"/>
    <tableColumn id="14" xr3:uid="{00000000-0010-0000-0000-00000E000000}" name="Fecha validació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L6" dT="2026-08-04T04:52:42.788" personId="{3934E4E5-ACAC-4B66-8320-D2E54CDB4735}" id="{9FA44241-4C4F-A051-EE6D-30B571263FB1}">
    <xltc:text>Fuente de verificación: Archivo_LateX_V3_IR.pdf, Entrega 3 (2A), revisión interna 3.1, 109 páginas. Los hallazgos son candidatos hasta la reunión Fagan.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408c4efba7af4720" Type="http://schemas.microsoft.com/office/2017/10/relationships/threadedComment" Target="../threadedcomments/threadedcomment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showGridLines="0" tabSelected="1" zoomScale="80" zoomScaleNormal="80" workbookViewId="0">
      <selection activeCell="F11" sqref="F11"/>
    </sheetView>
  </sheetViews>
  <sheetFormatPr baseColWidth="10" defaultColWidth="9" defaultRowHeight="15"/>
  <cols>
    <col min="1" max="1" width="5.75" style="10" bestFit="1" customWidth="1"/>
    <col min="2" max="2" width="16.375" style="10" bestFit="1" customWidth="1"/>
    <col min="3" max="3" width="16" style="10" bestFit="1" customWidth="1"/>
    <col min="4" max="4" width="51.625" style="10" bestFit="1" customWidth="1"/>
    <col min="5" max="5" width="9.5" style="10" bestFit="1" customWidth="1"/>
    <col min="6" max="6" width="10.25" style="10" customWidth="1"/>
    <col min="7" max="8" width="20.375" style="10" bestFit="1" customWidth="1"/>
    <col min="9" max="9" width="10.375" style="10" bestFit="1" customWidth="1"/>
    <col min="10" max="10" width="45.875" style="10" bestFit="1" customWidth="1"/>
    <col min="11" max="11" width="17.25" style="10" bestFit="1" customWidth="1"/>
    <col min="12" max="12" width="25.625" style="10" bestFit="1" customWidth="1"/>
    <col min="13" max="13" width="17.625" style="10" bestFit="1" customWidth="1"/>
    <col min="14" max="14" width="16.125" style="10" customWidth="1"/>
    <col min="15" max="16384" width="9" style="10"/>
  </cols>
  <sheetData>
    <row r="1" spans="1:14" ht="2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5" spans="1:14" ht="31.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</row>
    <row r="6" spans="1:14" ht="24">
      <c r="A6" s="12" t="s">
        <v>17</v>
      </c>
      <c r="B6" s="13" t="s">
        <v>18</v>
      </c>
      <c r="C6" s="12" t="s">
        <v>19</v>
      </c>
      <c r="D6" s="13" t="s">
        <v>20</v>
      </c>
      <c r="E6" s="12" t="s">
        <v>21</v>
      </c>
      <c r="F6" s="12" t="s">
        <v>22</v>
      </c>
      <c r="G6" s="13" t="s">
        <v>23</v>
      </c>
      <c r="H6" s="13" t="s">
        <v>23</v>
      </c>
      <c r="I6" s="12" t="s">
        <v>24</v>
      </c>
      <c r="J6" s="13" t="s">
        <v>25</v>
      </c>
      <c r="K6" s="13" t="s">
        <v>26</v>
      </c>
      <c r="L6" s="13" t="s">
        <v>27</v>
      </c>
      <c r="M6" s="12" t="s">
        <v>28</v>
      </c>
      <c r="N6" s="14">
        <v>46238</v>
      </c>
    </row>
    <row r="7" spans="1:14" ht="24">
      <c r="A7" s="12" t="s">
        <v>29</v>
      </c>
      <c r="B7" s="13" t="s">
        <v>30</v>
      </c>
      <c r="C7" s="12" t="s">
        <v>31</v>
      </c>
      <c r="D7" s="13" t="s">
        <v>32</v>
      </c>
      <c r="E7" s="12" t="s">
        <v>33</v>
      </c>
      <c r="F7" s="12" t="s">
        <v>22</v>
      </c>
      <c r="G7" s="13" t="s">
        <v>23</v>
      </c>
      <c r="H7" s="13" t="s">
        <v>34</v>
      </c>
      <c r="I7" s="12" t="s">
        <v>24</v>
      </c>
      <c r="J7" s="13" t="s">
        <v>35</v>
      </c>
      <c r="K7" s="13" t="s">
        <v>26</v>
      </c>
      <c r="L7" s="13" t="s">
        <v>36</v>
      </c>
      <c r="M7" s="12" t="s">
        <v>28</v>
      </c>
      <c r="N7" s="14">
        <v>46238</v>
      </c>
    </row>
    <row r="8" spans="1:14" ht="24">
      <c r="A8" s="12" t="s">
        <v>37</v>
      </c>
      <c r="B8" s="13" t="s">
        <v>38</v>
      </c>
      <c r="C8" s="12" t="s">
        <v>39</v>
      </c>
      <c r="D8" s="13" t="s">
        <v>40</v>
      </c>
      <c r="E8" s="12" t="s">
        <v>41</v>
      </c>
      <c r="F8" s="12" t="s">
        <v>42</v>
      </c>
      <c r="G8" s="13" t="s">
        <v>23</v>
      </c>
      <c r="H8" s="13" t="s">
        <v>43</v>
      </c>
      <c r="I8" s="12" t="s">
        <v>24</v>
      </c>
      <c r="J8" s="13" t="s">
        <v>44</v>
      </c>
      <c r="K8" s="13" t="s">
        <v>26</v>
      </c>
      <c r="L8" s="13" t="s">
        <v>45</v>
      </c>
      <c r="M8" s="12" t="s">
        <v>28</v>
      </c>
      <c r="N8" s="14">
        <v>46238</v>
      </c>
    </row>
    <row r="9" spans="1:14" ht="24">
      <c r="A9" s="12" t="s">
        <v>46</v>
      </c>
      <c r="B9" s="13" t="s">
        <v>47</v>
      </c>
      <c r="C9" s="12" t="s">
        <v>48</v>
      </c>
      <c r="D9" s="13" t="s">
        <v>49</v>
      </c>
      <c r="E9" s="12" t="s">
        <v>50</v>
      </c>
      <c r="F9" s="12" t="s">
        <v>22</v>
      </c>
      <c r="G9" s="13" t="s">
        <v>23</v>
      </c>
      <c r="H9" s="13" t="s">
        <v>34</v>
      </c>
      <c r="I9" s="12" t="s">
        <v>24</v>
      </c>
      <c r="J9" s="13" t="s">
        <v>51</v>
      </c>
      <c r="K9" s="13" t="s">
        <v>26</v>
      </c>
      <c r="L9" s="13" t="s">
        <v>52</v>
      </c>
      <c r="M9" s="12" t="s">
        <v>28</v>
      </c>
      <c r="N9" s="14">
        <v>46238</v>
      </c>
    </row>
    <row r="10" spans="1:14" ht="24">
      <c r="A10" s="12" t="s">
        <v>53</v>
      </c>
      <c r="B10" s="13" t="s">
        <v>54</v>
      </c>
      <c r="C10" s="12" t="s">
        <v>55</v>
      </c>
      <c r="D10" s="13" t="s">
        <v>56</v>
      </c>
      <c r="E10" s="12" t="s">
        <v>57</v>
      </c>
      <c r="F10" s="12" t="s">
        <v>22</v>
      </c>
      <c r="G10" s="13" t="s">
        <v>23</v>
      </c>
      <c r="H10" s="13" t="s">
        <v>43</v>
      </c>
      <c r="I10" s="12" t="s">
        <v>24</v>
      </c>
      <c r="J10" s="13" t="s">
        <v>58</v>
      </c>
      <c r="K10" s="13" t="s">
        <v>26</v>
      </c>
      <c r="L10" s="13" t="s">
        <v>59</v>
      </c>
      <c r="M10" s="12" t="s">
        <v>28</v>
      </c>
      <c r="N10" s="14">
        <v>46238</v>
      </c>
    </row>
    <row r="11" spans="1:14" ht="24">
      <c r="A11" s="12" t="s">
        <v>60</v>
      </c>
      <c r="B11" s="13" t="s">
        <v>54</v>
      </c>
      <c r="C11" s="12" t="s">
        <v>61</v>
      </c>
      <c r="D11" s="13" t="s">
        <v>62</v>
      </c>
      <c r="E11" s="12" t="s">
        <v>63</v>
      </c>
      <c r="F11" s="12" t="s">
        <v>22</v>
      </c>
      <c r="G11" s="13" t="s">
        <v>23</v>
      </c>
      <c r="H11" s="13" t="s">
        <v>23</v>
      </c>
      <c r="I11" s="12" t="s">
        <v>24</v>
      </c>
      <c r="J11" s="13" t="s">
        <v>64</v>
      </c>
      <c r="K11" s="13" t="s">
        <v>26</v>
      </c>
      <c r="L11" s="13" t="s">
        <v>65</v>
      </c>
      <c r="M11" s="12" t="s">
        <v>28</v>
      </c>
      <c r="N11" s="14">
        <v>46238</v>
      </c>
    </row>
    <row r="12" spans="1:14" ht="24">
      <c r="A12" s="12" t="s">
        <v>66</v>
      </c>
      <c r="B12" s="13" t="s">
        <v>67</v>
      </c>
      <c r="C12" s="12" t="s">
        <v>68</v>
      </c>
      <c r="D12" s="13" t="s">
        <v>69</v>
      </c>
      <c r="E12" s="12" t="s">
        <v>41</v>
      </c>
      <c r="F12" s="12" t="s">
        <v>22</v>
      </c>
      <c r="G12" s="13" t="s">
        <v>43</v>
      </c>
      <c r="H12" s="13" t="s">
        <v>43</v>
      </c>
      <c r="I12" s="12" t="s">
        <v>24</v>
      </c>
      <c r="J12" s="13" t="s">
        <v>70</v>
      </c>
      <c r="K12" s="13" t="s">
        <v>26</v>
      </c>
      <c r="L12" s="13" t="s">
        <v>71</v>
      </c>
      <c r="M12" s="12" t="s">
        <v>28</v>
      </c>
      <c r="N12" s="14">
        <v>46238</v>
      </c>
    </row>
    <row r="13" spans="1:14" ht="24">
      <c r="A13" s="12" t="s">
        <v>72</v>
      </c>
      <c r="B13" s="13" t="s">
        <v>73</v>
      </c>
      <c r="C13" s="12" t="s">
        <v>74</v>
      </c>
      <c r="D13" s="13" t="s">
        <v>75</v>
      </c>
      <c r="E13" s="12" t="s">
        <v>33</v>
      </c>
      <c r="F13" s="12" t="s">
        <v>76</v>
      </c>
      <c r="G13" s="13" t="s">
        <v>43</v>
      </c>
      <c r="H13" s="13" t="s">
        <v>34</v>
      </c>
      <c r="I13" s="12" t="s">
        <v>24</v>
      </c>
      <c r="J13" s="13" t="s">
        <v>77</v>
      </c>
      <c r="K13" s="13" t="s">
        <v>26</v>
      </c>
      <c r="L13" s="13" t="s">
        <v>78</v>
      </c>
      <c r="M13" s="12" t="s">
        <v>28</v>
      </c>
      <c r="N13" s="14">
        <v>46238</v>
      </c>
    </row>
    <row r="14" spans="1:14" ht="24">
      <c r="A14" s="12" t="s">
        <v>79</v>
      </c>
      <c r="B14" s="13" t="s">
        <v>30</v>
      </c>
      <c r="C14" s="12" t="s">
        <v>80</v>
      </c>
      <c r="D14" s="13" t="s">
        <v>81</v>
      </c>
      <c r="E14" s="12" t="s">
        <v>21</v>
      </c>
      <c r="F14" s="12" t="s">
        <v>22</v>
      </c>
      <c r="G14" s="13" t="s">
        <v>43</v>
      </c>
      <c r="H14" s="13" t="s">
        <v>23</v>
      </c>
      <c r="I14" s="12" t="s">
        <v>24</v>
      </c>
      <c r="J14" s="13" t="s">
        <v>82</v>
      </c>
      <c r="K14" s="13" t="s">
        <v>26</v>
      </c>
      <c r="L14" s="13" t="s">
        <v>83</v>
      </c>
      <c r="M14" s="12" t="s">
        <v>28</v>
      </c>
      <c r="N14" s="14">
        <v>46238</v>
      </c>
    </row>
    <row r="15" spans="1:14" ht="24">
      <c r="A15" s="12" t="s">
        <v>84</v>
      </c>
      <c r="B15" s="13" t="s">
        <v>54</v>
      </c>
      <c r="C15" s="12" t="s">
        <v>85</v>
      </c>
      <c r="D15" s="13" t="s">
        <v>86</v>
      </c>
      <c r="E15" s="12" t="s">
        <v>57</v>
      </c>
      <c r="F15" s="12" t="s">
        <v>22</v>
      </c>
      <c r="G15" s="13" t="s">
        <v>43</v>
      </c>
      <c r="H15" s="13" t="s">
        <v>43</v>
      </c>
      <c r="I15" s="12" t="s">
        <v>24</v>
      </c>
      <c r="J15" s="13" t="s">
        <v>87</v>
      </c>
      <c r="K15" s="13" t="s">
        <v>26</v>
      </c>
      <c r="L15" s="13" t="s">
        <v>88</v>
      </c>
      <c r="M15" s="12" t="s">
        <v>28</v>
      </c>
      <c r="N15" s="14">
        <v>46238</v>
      </c>
    </row>
    <row r="16" spans="1:14" ht="24">
      <c r="A16" s="12" t="s">
        <v>89</v>
      </c>
      <c r="B16" s="13" t="s">
        <v>90</v>
      </c>
      <c r="C16" s="12" t="s">
        <v>68</v>
      </c>
      <c r="D16" s="13" t="s">
        <v>91</v>
      </c>
      <c r="E16" s="12" t="s">
        <v>50</v>
      </c>
      <c r="F16" s="12" t="s">
        <v>76</v>
      </c>
      <c r="G16" s="13" t="s">
        <v>43</v>
      </c>
      <c r="H16" s="13" t="s">
        <v>34</v>
      </c>
      <c r="I16" s="12" t="s">
        <v>24</v>
      </c>
      <c r="J16" s="13" t="s">
        <v>92</v>
      </c>
      <c r="K16" s="13" t="s">
        <v>26</v>
      </c>
      <c r="L16" s="13" t="s">
        <v>93</v>
      </c>
      <c r="M16" s="12" t="s">
        <v>28</v>
      </c>
      <c r="N16" s="14">
        <v>46238</v>
      </c>
    </row>
    <row r="17" spans="1:14" ht="24">
      <c r="A17" s="12" t="s">
        <v>94</v>
      </c>
      <c r="B17" s="13" t="s">
        <v>95</v>
      </c>
      <c r="C17" s="12" t="s">
        <v>96</v>
      </c>
      <c r="D17" s="13" t="s">
        <v>97</v>
      </c>
      <c r="E17" s="12" t="s">
        <v>63</v>
      </c>
      <c r="F17" s="12" t="s">
        <v>22</v>
      </c>
      <c r="G17" s="13" t="s">
        <v>43</v>
      </c>
      <c r="H17" s="13" t="s">
        <v>23</v>
      </c>
      <c r="I17" s="12" t="s">
        <v>24</v>
      </c>
      <c r="J17" s="13" t="s">
        <v>98</v>
      </c>
      <c r="K17" s="13" t="s">
        <v>26</v>
      </c>
      <c r="L17" s="13" t="s">
        <v>99</v>
      </c>
      <c r="M17" s="12" t="s">
        <v>28</v>
      </c>
      <c r="N17" s="14">
        <v>46238</v>
      </c>
    </row>
    <row r="18" spans="1:14" ht="24">
      <c r="A18" s="12" t="s">
        <v>100</v>
      </c>
      <c r="B18" s="13" t="s">
        <v>95</v>
      </c>
      <c r="C18" s="12" t="s">
        <v>101</v>
      </c>
      <c r="D18" s="13" t="s">
        <v>102</v>
      </c>
      <c r="E18" s="12" t="s">
        <v>41</v>
      </c>
      <c r="F18" s="12" t="s">
        <v>42</v>
      </c>
      <c r="G18" s="13" t="s">
        <v>34</v>
      </c>
      <c r="H18" s="13" t="s">
        <v>43</v>
      </c>
      <c r="I18" s="12" t="s">
        <v>24</v>
      </c>
      <c r="J18" s="13" t="s">
        <v>103</v>
      </c>
      <c r="K18" s="13" t="s">
        <v>26</v>
      </c>
      <c r="L18" s="13" t="s">
        <v>104</v>
      </c>
      <c r="M18" s="12" t="s">
        <v>28</v>
      </c>
      <c r="N18" s="14">
        <v>46238</v>
      </c>
    </row>
    <row r="19" spans="1:14" ht="24">
      <c r="A19" s="12" t="s">
        <v>105</v>
      </c>
      <c r="B19" s="13" t="s">
        <v>106</v>
      </c>
      <c r="C19" s="12" t="s">
        <v>107</v>
      </c>
      <c r="D19" s="13" t="s">
        <v>108</v>
      </c>
      <c r="E19" s="12" t="s">
        <v>33</v>
      </c>
      <c r="F19" s="12" t="s">
        <v>76</v>
      </c>
      <c r="G19" s="13" t="s">
        <v>34</v>
      </c>
      <c r="H19" s="13" t="s">
        <v>23</v>
      </c>
      <c r="I19" s="12" t="s">
        <v>24</v>
      </c>
      <c r="J19" s="13" t="s">
        <v>109</v>
      </c>
      <c r="K19" s="13" t="s">
        <v>26</v>
      </c>
      <c r="L19" s="13" t="s">
        <v>110</v>
      </c>
      <c r="M19" s="12" t="s">
        <v>28</v>
      </c>
      <c r="N19" s="14">
        <v>46238</v>
      </c>
    </row>
    <row r="20" spans="1:14" ht="24">
      <c r="A20" s="12" t="s">
        <v>111</v>
      </c>
      <c r="B20" s="13" t="s">
        <v>30</v>
      </c>
      <c r="C20" s="12" t="s">
        <v>112</v>
      </c>
      <c r="D20" s="13" t="s">
        <v>113</v>
      </c>
      <c r="E20" s="12" t="s">
        <v>21</v>
      </c>
      <c r="F20" s="12" t="s">
        <v>22</v>
      </c>
      <c r="G20" s="13" t="s">
        <v>34</v>
      </c>
      <c r="H20" s="13" t="s">
        <v>34</v>
      </c>
      <c r="I20" s="12" t="s">
        <v>24</v>
      </c>
      <c r="J20" s="13" t="s">
        <v>114</v>
      </c>
      <c r="K20" s="13" t="s">
        <v>26</v>
      </c>
      <c r="L20" s="13" t="s">
        <v>115</v>
      </c>
      <c r="M20" s="12" t="s">
        <v>28</v>
      </c>
      <c r="N20" s="14">
        <v>46238</v>
      </c>
    </row>
    <row r="21" spans="1:14" ht="24">
      <c r="A21" s="12" t="s">
        <v>116</v>
      </c>
      <c r="B21" s="13" t="s">
        <v>54</v>
      </c>
      <c r="C21" s="12" t="s">
        <v>117</v>
      </c>
      <c r="D21" s="13" t="s">
        <v>118</v>
      </c>
      <c r="E21" s="12" t="s">
        <v>57</v>
      </c>
      <c r="F21" s="12" t="s">
        <v>22</v>
      </c>
      <c r="G21" s="13" t="s">
        <v>34</v>
      </c>
      <c r="H21" s="13" t="s">
        <v>43</v>
      </c>
      <c r="I21" s="12" t="s">
        <v>119</v>
      </c>
      <c r="J21" s="13" t="s">
        <v>120</v>
      </c>
      <c r="K21" s="13"/>
      <c r="L21" s="13" t="s">
        <v>121</v>
      </c>
      <c r="M21" s="12" t="s">
        <v>122</v>
      </c>
      <c r="N21" s="14"/>
    </row>
    <row r="22" spans="1:14" ht="24">
      <c r="A22" s="12" t="s">
        <v>123</v>
      </c>
      <c r="B22" s="13" t="s">
        <v>90</v>
      </c>
      <c r="C22" s="12" t="s">
        <v>124</v>
      </c>
      <c r="D22" s="13" t="s">
        <v>125</v>
      </c>
      <c r="E22" s="12" t="s">
        <v>50</v>
      </c>
      <c r="F22" s="12" t="s">
        <v>76</v>
      </c>
      <c r="G22" s="13" t="s">
        <v>34</v>
      </c>
      <c r="H22" s="13" t="s">
        <v>34</v>
      </c>
      <c r="I22" s="12" t="s">
        <v>119</v>
      </c>
      <c r="J22" s="13" t="s">
        <v>126</v>
      </c>
      <c r="K22" s="13"/>
      <c r="L22" s="13" t="s">
        <v>127</v>
      </c>
      <c r="M22" s="12" t="s">
        <v>122</v>
      </c>
      <c r="N22" s="14"/>
    </row>
    <row r="23" spans="1:14" ht="24">
      <c r="A23" s="12" t="s">
        <v>128</v>
      </c>
      <c r="B23" s="13" t="s">
        <v>73</v>
      </c>
      <c r="C23" s="12" t="s">
        <v>74</v>
      </c>
      <c r="D23" s="13" t="s">
        <v>129</v>
      </c>
      <c r="E23" s="12" t="s">
        <v>63</v>
      </c>
      <c r="F23" s="12" t="s">
        <v>22</v>
      </c>
      <c r="G23" s="13" t="s">
        <v>34</v>
      </c>
      <c r="H23" s="13" t="s">
        <v>23</v>
      </c>
      <c r="I23" s="12" t="s">
        <v>119</v>
      </c>
      <c r="J23" s="13" t="s">
        <v>130</v>
      </c>
      <c r="K23" s="13"/>
      <c r="L23" s="13" t="s">
        <v>131</v>
      </c>
      <c r="M23" s="12" t="s">
        <v>122</v>
      </c>
      <c r="N23" s="14"/>
    </row>
  </sheetData>
  <mergeCells count="3">
    <mergeCell ref="A1:N1"/>
    <mergeCell ref="A2:N2"/>
    <mergeCell ref="A3:N3"/>
  </mergeCells>
  <conditionalFormatting sqref="F6:F23">
    <cfRule type="containsText" dxfId="24" priority="1" operator="containsText" text="Crítico"/>
    <cfRule type="containsText" dxfId="23" priority="2" operator="containsText" text="Mayor"/>
    <cfRule type="containsText" dxfId="22" priority="3" operator="containsText" text="Menor"/>
  </conditionalFormatting>
  <conditionalFormatting sqref="I6:I23">
    <cfRule type="containsText" dxfId="21" priority="4" operator="containsText" text="Corregido"/>
  </conditionalFormatting>
  <conditionalFormatting sqref="M6:M23">
    <cfRule type="containsText" dxfId="20" priority="5" operator="containsText" text="Aceptado"/>
  </conditionalFormatting>
  <dataValidations count="4">
    <dataValidation type="list" sqref="E6:E23" xr:uid="{00000000-0002-0000-0000-000000000000}">
      <formula1>"Ambigüedad,Completitud,Consistencia,Verificabilidad,Trazabilidad,Factibilidad"</formula1>
    </dataValidation>
    <dataValidation type="list" sqref="F6:F23" xr:uid="{00000000-0002-0000-0000-000001000000}">
      <formula1>"Crítico,Mayor,Menor"</formula1>
    </dataValidation>
    <dataValidation type="list" sqref="I6:I23" xr:uid="{00000000-0002-0000-0000-000002000000}">
      <formula1>"Pendiente de validación,Abierto,En corrección,Corregido,No aplica"</formula1>
    </dataValidation>
    <dataValidation type="list" sqref="M6:M23" xr:uid="{00000000-0002-0000-0000-000003000000}">
      <formula1>"Pendiente,Aceptado,Duplicado,Rechazado"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showGridLines="0" workbookViewId="0"/>
  </sheetViews>
  <sheetFormatPr baseColWidth="10" defaultColWidth="9" defaultRowHeight="14.25"/>
  <cols>
    <col min="1" max="1" width="30" customWidth="1"/>
    <col min="2" max="2" width="18" customWidth="1"/>
    <col min="3" max="3" width="48" customWidth="1"/>
    <col min="4" max="4" width="4" customWidth="1"/>
    <col min="5" max="5" width="22" customWidth="1"/>
    <col min="6" max="6" width="16" customWidth="1"/>
    <col min="7" max="7" width="20" customWidth="1"/>
    <col min="8" max="8" width="4" customWidth="1"/>
  </cols>
  <sheetData>
    <row r="1" spans="1:8" ht="30" customHeight="1">
      <c r="A1" s="7" t="s">
        <v>132</v>
      </c>
      <c r="B1" s="7"/>
      <c r="C1" s="7"/>
      <c r="D1" s="7"/>
      <c r="E1" s="7"/>
      <c r="F1" s="7"/>
      <c r="G1" s="7"/>
      <c r="H1" s="7"/>
    </row>
    <row r="2" spans="1:8" ht="24.95" customHeight="1">
      <c r="A2" s="8" t="s">
        <v>133</v>
      </c>
      <c r="B2" s="8"/>
      <c r="C2" s="8"/>
      <c r="D2" s="8"/>
      <c r="E2" s="8"/>
      <c r="F2" s="8"/>
      <c r="G2" s="8"/>
      <c r="H2" s="8"/>
    </row>
    <row r="4" spans="1:8" ht="27.95" customHeight="1">
      <c r="A4" s="3" t="s">
        <v>134</v>
      </c>
      <c r="B4" s="3" t="s">
        <v>135</v>
      </c>
      <c r="C4" s="3" t="s">
        <v>136</v>
      </c>
      <c r="E4" s="3" t="s">
        <v>7</v>
      </c>
      <c r="F4" s="3" t="s">
        <v>137</v>
      </c>
      <c r="G4" s="3" t="s">
        <v>138</v>
      </c>
    </row>
    <row r="5" spans="1:8" ht="27.95" customHeight="1">
      <c r="A5" s="6" t="s">
        <v>139</v>
      </c>
      <c r="B5" s="4">
        <f>COUNTA(Registro_defectos!A6:A23)</f>
        <v>18</v>
      </c>
      <c r="C5" s="4" t="s">
        <v>140</v>
      </c>
      <c r="E5" s="4" t="s">
        <v>41</v>
      </c>
      <c r="F5" s="4">
        <f>COUNTIFS(Registro_defectos!E6:E23,E5,Registro_defectos!M6:M23,"Aceptado")</f>
        <v>3</v>
      </c>
      <c r="G5" s="4">
        <f>COUNTIF(Registro_defectos!E6:E23,E5)</f>
        <v>3</v>
      </c>
    </row>
    <row r="6" spans="1:8" ht="27.95" customHeight="1">
      <c r="A6" s="6" t="s">
        <v>141</v>
      </c>
      <c r="B6" s="4">
        <f>COUNTIF(Registro_defectos!M6:M23,"Aceptado")</f>
        <v>15</v>
      </c>
      <c r="C6" s="4" t="s">
        <v>142</v>
      </c>
      <c r="E6" s="4" t="s">
        <v>33</v>
      </c>
      <c r="F6" s="4">
        <f>COUNTIFS(Registro_defectos!E6:E23,E6,Registro_defectos!M6:M23,"Aceptado")</f>
        <v>3</v>
      </c>
      <c r="G6" s="4">
        <f>COUNTIF(Registro_defectos!E6:E23,E6)</f>
        <v>3</v>
      </c>
    </row>
    <row r="7" spans="1:8" ht="27.95" customHeight="1">
      <c r="A7" s="6" t="s">
        <v>143</v>
      </c>
      <c r="B7" s="4">
        <f>COUNTIFS(Registro_defectos!M6:M23,"Aceptado",Registro_defectos!F6:F23,"Crítico")+COUNTIFS(Registro_defectos!M6:M23,"Aceptado",Registro_defectos!F6:F23,"Mayor")</f>
        <v>13</v>
      </c>
      <c r="C7" s="4" t="s">
        <v>144</v>
      </c>
      <c r="E7" s="4" t="s">
        <v>21</v>
      </c>
      <c r="F7" s="4">
        <f>COUNTIFS(Registro_defectos!E6:E23,E7,Registro_defectos!M6:M23,"Aceptado")</f>
        <v>3</v>
      </c>
      <c r="G7" s="4">
        <f>COUNTIF(Registro_defectos!E6:E23,E7)</f>
        <v>3</v>
      </c>
    </row>
    <row r="8" spans="1:8" ht="27.95" customHeight="1">
      <c r="A8" s="6" t="s">
        <v>145</v>
      </c>
      <c r="B8" s="4">
        <f>COUNTIFS(Registro_defectos!M6:M23,"Aceptado",Registro_defectos!F6:F23,"Crítico",Registro_defectos!I6:I23,"Corregido")+COUNTIFS(Registro_defectos!M6:M23,"Aceptado",Registro_defectos!F6:F23,"Mayor",Registro_defectos!I6:I23,"Corregido")</f>
        <v>13</v>
      </c>
      <c r="C8" s="4" t="s">
        <v>146</v>
      </c>
      <c r="E8" s="4" t="s">
        <v>57</v>
      </c>
      <c r="F8" s="4">
        <f>COUNTIFS(Registro_defectos!E6:E23,E8,Registro_defectos!M6:M23,"Aceptado")</f>
        <v>2</v>
      </c>
      <c r="G8" s="4">
        <f>COUNTIF(Registro_defectos!E6:E23,E8)</f>
        <v>3</v>
      </c>
    </row>
    <row r="9" spans="1:8" ht="27.95" customHeight="1">
      <c r="A9" s="6" t="s">
        <v>147</v>
      </c>
      <c r="B9" s="5">
        <f>IF(B7=0,0,B8/B7)</f>
        <v>1</v>
      </c>
      <c r="C9" s="4" t="s">
        <v>148</v>
      </c>
      <c r="E9" s="4" t="s">
        <v>50</v>
      </c>
      <c r="F9" s="4">
        <f>COUNTIFS(Registro_defectos!E6:E23,E9,Registro_defectos!M6:M23,"Aceptado")</f>
        <v>2</v>
      </c>
      <c r="G9" s="4">
        <f>COUNTIF(Registro_defectos!E6:E23,E9)</f>
        <v>3</v>
      </c>
    </row>
    <row r="10" spans="1:8" ht="27.95" customHeight="1">
      <c r="A10" s="6" t="s">
        <v>149</v>
      </c>
      <c r="B10" s="4" t="str">
        <f>IF(AND(B6&gt;=15,B7&gt;=3,B9=1),"CUMPLE","PENDIENTE")</f>
        <v>CUMPLE</v>
      </c>
      <c r="C10" s="4" t="s">
        <v>150</v>
      </c>
      <c r="E10" s="4" t="s">
        <v>63</v>
      </c>
      <c r="F10" s="4">
        <f>COUNTIFS(Registro_defectos!E6:E23,E10,Registro_defectos!M6:M23,"Aceptado")</f>
        <v>2</v>
      </c>
      <c r="G10" s="4">
        <f>COUNTIF(Registro_defectos!E6:E23,E10)</f>
        <v>3</v>
      </c>
    </row>
    <row r="11" spans="1:8" ht="27.95" customHeight="1"/>
    <row r="12" spans="1:8" ht="27.95" customHeight="1">
      <c r="A12" s="3" t="s">
        <v>151</v>
      </c>
      <c r="B12" s="3" t="s">
        <v>135</v>
      </c>
      <c r="C12" s="3" t="s">
        <v>152</v>
      </c>
    </row>
    <row r="13" spans="1:8" ht="27.95" customHeight="1">
      <c r="A13" s="6" t="s">
        <v>153</v>
      </c>
      <c r="B13" s="4" t="str">
        <f>IF(B6&gt;=15,"CUMPLE","NO CUMPLE")</f>
        <v>CUMPLE</v>
      </c>
      <c r="C13" s="4" t="s">
        <v>154</v>
      </c>
      <c r="E13" s="3" t="s">
        <v>8</v>
      </c>
      <c r="F13" s="3" t="s">
        <v>137</v>
      </c>
      <c r="G13" s="3" t="s">
        <v>138</v>
      </c>
    </row>
    <row r="14" spans="1:8" ht="27.95" customHeight="1">
      <c r="A14" s="6" t="s">
        <v>155</v>
      </c>
      <c r="B14" s="4" t="str">
        <f>IF(B7&gt;=3,"CUMPLE","NO CUMPLE")</f>
        <v>CUMPLE</v>
      </c>
      <c r="C14" s="4" t="s">
        <v>156</v>
      </c>
      <c r="E14" s="4" t="s">
        <v>76</v>
      </c>
      <c r="F14" s="4">
        <f>COUNTIFS(Registro_defectos!F6:F23,E14,Registro_defectos!M6:M23,"Aceptado")</f>
        <v>3</v>
      </c>
      <c r="G14" s="4">
        <f>COUNTIF(Registro_defectos!F6:F23,E14)</f>
        <v>4</v>
      </c>
    </row>
    <row r="15" spans="1:8" ht="27.95" customHeight="1">
      <c r="A15" s="6" t="s">
        <v>157</v>
      </c>
      <c r="B15" s="4" t="str">
        <f>IF(AND(B7&gt;0,B9=1),"CUMPLE","NO CUMPLE")</f>
        <v>CUMPLE</v>
      </c>
      <c r="C15" s="4" t="s">
        <v>158</v>
      </c>
      <c r="E15" s="4" t="s">
        <v>22</v>
      </c>
      <c r="F15" s="4">
        <f>COUNTIFS(Registro_defectos!F6:F23,E15,Registro_defectos!M6:M23,"Aceptado")</f>
        <v>10</v>
      </c>
      <c r="G15" s="4">
        <f>COUNTIF(Registro_defectos!F6:F23,E15)</f>
        <v>12</v>
      </c>
    </row>
    <row r="16" spans="1:8" ht="27.95" customHeight="1">
      <c r="E16" s="4" t="s">
        <v>42</v>
      </c>
      <c r="F16" s="4">
        <f>COUNTIFS(Registro_defectos!F6:F23,E16,Registro_defectos!M6:M23,"Aceptado")</f>
        <v>2</v>
      </c>
      <c r="G16" s="4">
        <f>COUNTIF(Registro_defectos!F6:F23,E16)</f>
        <v>2</v>
      </c>
    </row>
  </sheetData>
  <mergeCells count="2">
    <mergeCell ref="A1:H1"/>
    <mergeCell ref="A2:H2"/>
  </mergeCells>
  <conditionalFormatting sqref="B10">
    <cfRule type="containsText" dxfId="19" priority="1" operator="containsText" text="CUMPLE"/>
    <cfRule type="containsText" dxfId="18" priority="2" operator="containsText" text="PENDIENTE"/>
  </conditionalFormatting>
  <conditionalFormatting sqref="B13:B15">
    <cfRule type="expression" dxfId="17" priority="3">
      <formula>$B13="CUMPLE"</formula>
    </cfRule>
    <cfRule type="expression" dxfId="16" priority="4">
      <formula>$B13="NO CUMPLE"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showGridLines="0" workbookViewId="0"/>
  </sheetViews>
  <sheetFormatPr baseColWidth="10" defaultColWidth="9" defaultRowHeight="14.25"/>
  <sheetData>
    <row r="1" spans="1:4" ht="15">
      <c r="A1" s="1" t="s">
        <v>159</v>
      </c>
      <c r="B1" s="1" t="s">
        <v>160</v>
      </c>
      <c r="C1" s="1" t="s">
        <v>161</v>
      </c>
      <c r="D1" s="1" t="s">
        <v>162</v>
      </c>
    </row>
    <row r="2" spans="1:4">
      <c r="A2" s="2" t="s">
        <v>41</v>
      </c>
      <c r="B2" s="2" t="s">
        <v>76</v>
      </c>
      <c r="C2" s="2" t="s">
        <v>163</v>
      </c>
      <c r="D2" s="2" t="s">
        <v>164</v>
      </c>
    </row>
    <row r="3" spans="1:4">
      <c r="A3" s="2" t="s">
        <v>33</v>
      </c>
      <c r="B3" s="2" t="s">
        <v>22</v>
      </c>
      <c r="C3" s="2" t="s">
        <v>165</v>
      </c>
      <c r="D3" s="2" t="s">
        <v>28</v>
      </c>
    </row>
    <row r="4" spans="1:4">
      <c r="A4" s="2" t="s">
        <v>21</v>
      </c>
      <c r="B4" s="2" t="s">
        <v>42</v>
      </c>
      <c r="C4" s="2" t="s">
        <v>166</v>
      </c>
      <c r="D4" s="2" t="s">
        <v>167</v>
      </c>
    </row>
    <row r="5" spans="1:4">
      <c r="A5" s="2" t="s">
        <v>57</v>
      </c>
      <c r="B5" s="2"/>
      <c r="C5" s="2" t="s">
        <v>24</v>
      </c>
      <c r="D5" s="2" t="s">
        <v>168</v>
      </c>
    </row>
    <row r="6" spans="1:4">
      <c r="A6" s="2" t="s">
        <v>50</v>
      </c>
      <c r="B6" s="2"/>
      <c r="C6" s="2" t="s">
        <v>169</v>
      </c>
      <c r="D6" s="2"/>
    </row>
    <row r="7" spans="1:4">
      <c r="A7" s="2" t="s">
        <v>63</v>
      </c>
      <c r="B7" s="2"/>
      <c r="C7" s="2"/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Registro_defectos</vt:lpstr>
      <vt:lpstr>Resumen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TIGASI SAMPEDRO  PAUL ALEXANDER</cp:lastModifiedBy>
  <dcterms:modified xsi:type="dcterms:W3CDTF">2026-08-05T06:11:57Z</dcterms:modified>
</cp:coreProperties>
</file>