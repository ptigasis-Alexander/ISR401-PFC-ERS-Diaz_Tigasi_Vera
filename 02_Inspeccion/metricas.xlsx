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PE4_Paquete_Actualizado\02_Inspeccion\"/>
    </mc:Choice>
  </mc:AlternateContent>
  <xr:revisionPtr revIDLastSave="0" documentId="8_{83E03536-3674-4406-9AA7-3B3CE06BA04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Datos" sheetId="1" r:id="rId1"/>
    <sheet name="Metricas" sheetId="2" r:id="rId2"/>
    <sheet name="Graficos" sheetId="3" r:id="rId3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" i="3" l="1"/>
  <c r="A9" i="3"/>
  <c r="A8" i="3"/>
  <c r="H7" i="3"/>
  <c r="A7" i="3"/>
  <c r="J6" i="3"/>
  <c r="H6" i="3"/>
  <c r="A6" i="3"/>
  <c r="H5" i="3"/>
  <c r="A5" i="3"/>
  <c r="D24" i="2"/>
  <c r="I7" i="3" s="1"/>
  <c r="B24" i="2"/>
  <c r="J7" i="3" s="1"/>
  <c r="D23" i="2"/>
  <c r="I6" i="3" s="1"/>
  <c r="B23" i="2"/>
  <c r="C23" i="2" s="1"/>
  <c r="D22" i="2"/>
  <c r="I5" i="3" s="1"/>
  <c r="B22" i="2"/>
  <c r="C22" i="2" s="1"/>
  <c r="D18" i="2"/>
  <c r="B10" i="3" s="1"/>
  <c r="B18" i="2"/>
  <c r="C10" i="3" s="1"/>
  <c r="D17" i="2"/>
  <c r="B9" i="3" s="1"/>
  <c r="B17" i="2"/>
  <c r="C9" i="3" s="1"/>
  <c r="D16" i="2"/>
  <c r="B8" i="3" s="1"/>
  <c r="B16" i="2"/>
  <c r="C8" i="3" s="1"/>
  <c r="D15" i="2"/>
  <c r="B7" i="3" s="1"/>
  <c r="B15" i="2"/>
  <c r="C15" i="2" s="1"/>
  <c r="D14" i="2"/>
  <c r="B6" i="3" s="1"/>
  <c r="B14" i="2"/>
  <c r="C14" i="2" s="1"/>
  <c r="D13" i="2"/>
  <c r="B5" i="3" s="1"/>
  <c r="B13" i="2"/>
  <c r="C13" i="2" s="1"/>
  <c r="D9" i="2"/>
  <c r="F9" i="2" s="1"/>
  <c r="D8" i="2"/>
  <c r="F8" i="2" s="1"/>
  <c r="D7" i="2"/>
  <c r="F7" i="2" s="1"/>
  <c r="D6" i="2"/>
  <c r="F6" i="2" s="1"/>
  <c r="D5" i="2"/>
  <c r="F5" i="2" s="1"/>
  <c r="J5" i="3" l="1"/>
  <c r="C24" i="2"/>
  <c r="C7" i="3"/>
  <c r="C17" i="2"/>
  <c r="C5" i="3"/>
  <c r="C16" i="2"/>
  <c r="C18" i="2"/>
  <c r="C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tc={757AC14B-8637-E981-8A3B-7BA54CEFE18D}</author>
  </authors>
  <commentList>
    <comment ref="I10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Ingrese el número real de páginas diferentes inspeccionadas. No sume páginas repetidas entre checklists. Máximo del ERS: 109.</t>
        </r>
      </text>
    </comment>
  </commentList>
</comments>
</file>

<file path=xl/sharedStrings.xml><?xml version="1.0" encoding="utf-8"?>
<sst xmlns="http://schemas.openxmlformats.org/spreadsheetml/2006/main" count="176" uniqueCount="92">
  <si>
    <t>DATOS DE ENTRADA — MÉTRICAS DE INSPECCIÓN FAGAN</t>
  </si>
  <si>
    <t>Integrante</t>
  </si>
  <si>
    <t>Checklist confirmado</t>
  </si>
  <si>
    <t>ID</t>
  </si>
  <si>
    <t>Tipo</t>
  </si>
  <si>
    <t>Severidad</t>
  </si>
  <si>
    <t>Decisión Fagan</t>
  </si>
  <si>
    <t>Estado</t>
  </si>
  <si>
    <t>Página(s) ERS</t>
  </si>
  <si>
    <t>Steven Santiago Díaz Pontón</t>
  </si>
  <si>
    <t>Pendiente</t>
  </si>
  <si>
    <t>DEF-01</t>
  </si>
  <si>
    <t>Consistencia</t>
  </si>
  <si>
    <t>Mayor</t>
  </si>
  <si>
    <t>Aceptado</t>
  </si>
  <si>
    <t>Corregido</t>
  </si>
  <si>
    <t>p. 2</t>
  </si>
  <si>
    <t>Anthony Alfredo Vera Gómez</t>
  </si>
  <si>
    <t>Confirmado</t>
  </si>
  <si>
    <t>DEF-02</t>
  </si>
  <si>
    <t>Completitud</t>
  </si>
  <si>
    <t>pp. 22 y 27</t>
  </si>
  <si>
    <t>Paul Alexander Tigasi Sampedro</t>
  </si>
  <si>
    <t>DEF-03</t>
  </si>
  <si>
    <t>Ambigüedad</t>
  </si>
  <si>
    <t>Menor</t>
  </si>
  <si>
    <t>p. 22</t>
  </si>
  <si>
    <t>DEF-04</t>
  </si>
  <si>
    <t>Trazabilidad</t>
  </si>
  <si>
    <t>pp. 28, 35 y 36</t>
  </si>
  <si>
    <t>DEF-05</t>
  </si>
  <si>
    <t>Verificabilidad</t>
  </si>
  <si>
    <t>p. 30</t>
  </si>
  <si>
    <t>Dato de sesión</t>
  </si>
  <si>
    <t>Valor</t>
  </si>
  <si>
    <t>DEF-06</t>
  </si>
  <si>
    <t>Factibilidad</t>
  </si>
  <si>
    <t>p. 31</t>
  </si>
  <si>
    <t>Páginas efectivas inspeccionadas</t>
  </si>
  <si>
    <t>DEF-07</t>
  </si>
  <si>
    <t>Fecha de sesión</t>
  </si>
  <si>
    <t>DEF-08</t>
  </si>
  <si>
    <t>Crítico</t>
  </si>
  <si>
    <t>pp. 2 y 67</t>
  </si>
  <si>
    <t>DEF-09</t>
  </si>
  <si>
    <t>DEF-10</t>
  </si>
  <si>
    <t>p. 32</t>
  </si>
  <si>
    <t>DEF-11</t>
  </si>
  <si>
    <t>Abierto</t>
  </si>
  <si>
    <t>p. 82</t>
  </si>
  <si>
    <t>DEF-12</t>
  </si>
  <si>
    <t>p. 40</t>
  </si>
  <si>
    <t>DEF-13</t>
  </si>
  <si>
    <t>DEF-14</t>
  </si>
  <si>
    <t>p. 41</t>
  </si>
  <si>
    <t>DEF-15</t>
  </si>
  <si>
    <t>pp. 31 y 36</t>
  </si>
  <si>
    <t>DEF-16</t>
  </si>
  <si>
    <t>Rechazado</t>
  </si>
  <si>
    <t>No incorporado</t>
  </si>
  <si>
    <t>DEF-17</t>
  </si>
  <si>
    <t>pp. 82 y 84</t>
  </si>
  <si>
    <t>DEF-18</t>
  </si>
  <si>
    <t>p. 67</t>
  </si>
  <si>
    <t>MÉTRICAS DE INSPECCIÓN FAGAN — ERS ENTREGA 3 (2A)</t>
  </si>
  <si>
    <t>Resultados calculados desde 15 defectos aceptados; DEF-11, DEF-12 y DEF-14 permanecen abiertos.</t>
  </si>
  <si>
    <t>N.º</t>
  </si>
  <si>
    <t>Métrica</t>
  </si>
  <si>
    <t>Fórmula utilizada</t>
  </si>
  <si>
    <t>Resultado</t>
  </si>
  <si>
    <t>Criterio</t>
  </si>
  <si>
    <t>Interpretación automática</t>
  </si>
  <si>
    <t>Densidad de defectos</t>
  </si>
  <si>
    <t>Defectos únicos aceptados / páginas efectivas inspeccionadas</t>
  </si>
  <si>
    <t>Informativa</t>
  </si>
  <si>
    <t>Preparación individual</t>
  </si>
  <si>
    <t>Checklists confirmados / integrantes del equipo × 100</t>
  </si>
  <si>
    <t>100 %</t>
  </si>
  <si>
    <t>Eliminación de críticos y mayores</t>
  </si>
  <si>
    <t>Críticos y mayores corregidos / críticos y mayores aceptados × 100</t>
  </si>
  <si>
    <t>Distribución por tipo</t>
  </si>
  <si>
    <t>Defectos aceptados de cada tipo / total aceptado × 100</t>
  </si>
  <si>
    <t>Ver tabla por tipo</t>
  </si>
  <si>
    <t>Distribución por severidad</t>
  </si>
  <si>
    <t>Defectos aceptados de cada severidad / total aceptado × 100</t>
  </si>
  <si>
    <t>Ver tabla por severidad</t>
  </si>
  <si>
    <t>Aceptados</t>
  </si>
  <si>
    <t>Porcentaje</t>
  </si>
  <si>
    <t>Candidatos</t>
  </si>
  <si>
    <t>GRÁFICOS DE DISTRIBUCIÓN — INSPECCIÓN FAGAN</t>
  </si>
  <si>
    <t>Las barras azules muestran candidatos; las verdes mostrarán únicamente defectos aceptados en la reunión.</t>
  </si>
  <si>
    <t>Datos sincronizados con los 15 defectos aceptados en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</si>
</sst>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4">
    <font>
      <sz val="11"/>
      <name val="Carlito"/>
    </font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color rgb="FF7F6000"/>
      <name val="Carlito"/>
    </font>
    <font>
      <b/>
      <sz val="11"/>
      <color rgb="FFFFFFFF"/>
      <name val="Carlito"/>
    </font>
    <font>
      <i/>
      <sz val="11"/>
      <color rgb="FF7F6000"/>
      <name val="Carlito"/>
    </font>
    <font>
      <b/>
      <sz val="11"/>
      <color rgb="FF1F2937"/>
      <name val="Carlito"/>
    </font>
    <font>
      <i/>
      <sz val="11"/>
      <color rgb="FF1F2937"/>
      <name val="Carlito"/>
    </font>
    <font>
      <b/>
      <sz val="16"/>
      <color rgb="FFFFFFFF"/>
      <name val="Times New Roman"/>
      <family val="1"/>
    </font>
    <font>
      <sz val="11"/>
      <name val="Times New Roman"/>
      <family val="1"/>
    </font>
    <font>
      <sz val="10"/>
      <color rgb="FF1F2937"/>
      <name val="Times New Roman"/>
      <family val="1"/>
    </font>
    <font>
      <b/>
      <i/>
      <sz val="11"/>
      <color rgb="FF7F6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FFFFFF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7" borderId="0" applyNumberFormat="0" applyBorder="0" applyAlignment="0" applyProtection="0"/>
  </cellStyleXfs>
  <cellXfs count="32">
    <xf numFmtId="0" fontId="0" fillId="0" borderId="0" xfId="0"/>
    <xf numFmtId="0" fontId="0" fillId="0" borderId="2" xfId="0" applyNumberFormat="1" applyFont="1" applyFill="1" applyBorder="1"/>
    <xf numFmtId="0" fontId="4" fillId="4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center" wrapText="1"/>
    </xf>
    <xf numFmtId="0" fontId="0" fillId="0" borderId="2" xfId="0" applyNumberFormat="1" applyFont="1" applyFill="1" applyBorder="1" applyAlignment="1">
      <alignment vertical="center"/>
    </xf>
    <xf numFmtId="165" fontId="0" fillId="0" borderId="2" xfId="0" applyNumberFormat="1" applyFont="1" applyFill="1" applyBorder="1" applyAlignment="1">
      <alignment vertical="center"/>
    </xf>
    <xf numFmtId="0" fontId="6" fillId="5" borderId="2" xfId="0" applyNumberFormat="1" applyFont="1" applyFill="1" applyBorder="1" applyAlignment="1">
      <alignment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/>
    </xf>
    <xf numFmtId="0" fontId="5" fillId="3" borderId="0" xfId="0" applyNumberFormat="1" applyFont="1" applyFill="1" applyBorder="1" applyAlignment="1">
      <alignment horizontal="center"/>
    </xf>
    <xf numFmtId="0" fontId="7" fillId="6" borderId="0" xfId="0" applyNumberFormat="1" applyFont="1" applyFill="1" applyBorder="1" applyAlignment="1">
      <alignment horizontal="center"/>
    </xf>
    <xf numFmtId="0" fontId="9" fillId="0" borderId="0" xfId="0" applyFont="1"/>
    <xf numFmtId="0" fontId="8" fillId="2" borderId="3" xfId="0" applyNumberFormat="1" applyFont="1" applyFill="1" applyBorder="1" applyAlignment="1">
      <alignment horizontal="center" vertical="center"/>
    </xf>
    <xf numFmtId="0" fontId="11" fillId="3" borderId="3" xfId="0" applyNumberFormat="1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>
      <alignment wrapText="1"/>
    </xf>
    <xf numFmtId="164" fontId="9" fillId="0" borderId="3" xfId="0" applyNumberFormat="1" applyFont="1" applyFill="1" applyBorder="1" applyAlignment="1">
      <alignment wrapText="1"/>
    </xf>
    <xf numFmtId="0" fontId="12" fillId="7" borderId="3" xfId="1" applyNumberFormat="1" applyFont="1" applyBorder="1" applyAlignment="1">
      <alignment horizontal="center" vertical="center"/>
    </xf>
    <xf numFmtId="0" fontId="13" fillId="8" borderId="3" xfId="0" applyNumberFormat="1" applyFont="1" applyFill="1" applyBorder="1" applyAlignment="1">
      <alignment horizontal="center" vertical="center"/>
    </xf>
    <xf numFmtId="0" fontId="13" fillId="9" borderId="4" xfId="0" applyNumberFormat="1" applyFont="1" applyFill="1" applyBorder="1" applyAlignment="1">
      <alignment horizontal="center" vertical="center"/>
    </xf>
    <xf numFmtId="0" fontId="13" fillId="9" borderId="5" xfId="0" applyNumberFormat="1" applyFont="1" applyFill="1" applyBorder="1" applyAlignment="1">
      <alignment horizontal="center" vertical="center"/>
    </xf>
    <xf numFmtId="0" fontId="13" fillId="9" borderId="6" xfId="0" applyNumberFormat="1" applyFont="1" applyFill="1" applyBorder="1" applyAlignment="1">
      <alignment horizontal="center" vertical="center"/>
    </xf>
    <xf numFmtId="0" fontId="10" fillId="10" borderId="7" xfId="0" applyNumberFormat="1" applyFont="1" applyFill="1" applyBorder="1" applyAlignment="1">
      <alignment horizontal="center" vertical="center" wrapText="1"/>
    </xf>
    <xf numFmtId="0" fontId="10" fillId="10" borderId="3" xfId="0" applyNumberFormat="1" applyFont="1" applyFill="1" applyBorder="1" applyAlignment="1">
      <alignment horizontal="center" vertical="center" wrapText="1"/>
    </xf>
    <xf numFmtId="0" fontId="10" fillId="10" borderId="8" xfId="0" applyNumberFormat="1" applyFont="1" applyFill="1" applyBorder="1" applyAlignment="1">
      <alignment horizontal="center" vertical="center" wrapText="1"/>
    </xf>
    <xf numFmtId="0" fontId="10" fillId="10" borderId="9" xfId="0" applyNumberFormat="1" applyFont="1" applyFill="1" applyBorder="1" applyAlignment="1">
      <alignment horizontal="center" vertical="center" wrapText="1"/>
    </xf>
    <xf numFmtId="0" fontId="10" fillId="10" borderId="10" xfId="0" applyNumberFormat="1" applyFont="1" applyFill="1" applyBorder="1" applyAlignment="1">
      <alignment horizontal="center" vertical="center" wrapText="1"/>
    </xf>
    <xf numFmtId="0" fontId="10" fillId="10" borderId="11" xfId="0" applyNumberFormat="1" applyFont="1" applyFill="1" applyBorder="1" applyAlignment="1">
      <alignment horizontal="center" vertical="center" wrapText="1"/>
    </xf>
    <xf numFmtId="0" fontId="9" fillId="10" borderId="0" xfId="0" applyFont="1" applyFill="1"/>
  </cellXfs>
  <cellStyles count="2">
    <cellStyle name="40% - Énfasis2" xfId="1" builtinId="35"/>
    <cellStyle name="Normal" xfId="0" builtinId="0"/>
  </cellStyles>
  <dxfs count="15"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FFFFFF"/>
        <name val="Times New Roman"/>
        <family val="1"/>
        <scheme val="none"/>
      </font>
      <fill>
        <patternFill patternType="solid">
          <fgColor indexed="64"/>
          <bgColor theme="5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color rgb="FF274E13"/>
      </font>
      <fill>
        <patternFill>
          <bgColor rgb="FFD9EAD3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a0815ac60beb4d3e" Type="http://schemas.microsoft.com/office/2017/10/relationships/person" Target="persons/person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Distribución de defectos por tipo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Candidatos</c:v>
          </c:tx>
          <c:spPr>
            <a:solidFill>
              <a:srgbClr val="1F6D8C"/>
            </a:solidFill>
          </c:spPr>
          <c:invertIfNegative val="1"/>
          <c:cat>
            <c:strRef>
              <c:f>Graficos!$A$5:$A$10</c:f>
              <c:strCache>
                <c:ptCount val="6"/>
                <c:pt idx="0">
                  <c:v>Ambigüedad</c:v>
                </c:pt>
                <c:pt idx="1">
                  <c:v>Completitud</c:v>
                </c:pt>
                <c:pt idx="2">
                  <c:v>Consistencia</c:v>
                </c:pt>
                <c:pt idx="3">
                  <c:v>Verificabilidad</c:v>
                </c:pt>
                <c:pt idx="4">
                  <c:v>Trazabilidad</c:v>
                </c:pt>
                <c:pt idx="5">
                  <c:v>Factibilidad</c:v>
                </c:pt>
              </c:strCache>
            </c:strRef>
          </c:cat>
          <c:val>
            <c:numRef>
              <c:f>Graficos!$B$5:$B$10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973-4AE6-8862-AF7FE7B50E6E}"/>
            </c:ext>
          </c:extLst>
        </c:ser>
        <c:ser>
          <c:idx val="1"/>
          <c:order val="1"/>
          <c:tx>
            <c:v>Aceptados</c:v>
          </c:tx>
          <c:spPr>
            <a:solidFill>
              <a:srgbClr val="70AD47"/>
            </a:solidFill>
          </c:spPr>
          <c:invertIfNegative val="1"/>
          <c:cat>
            <c:strRef>
              <c:f>Graficos!$A$5:$A$10</c:f>
              <c:strCache>
                <c:ptCount val="6"/>
                <c:pt idx="0">
                  <c:v>Ambigüedad</c:v>
                </c:pt>
                <c:pt idx="1">
                  <c:v>Completitud</c:v>
                </c:pt>
                <c:pt idx="2">
                  <c:v>Consistencia</c:v>
                </c:pt>
                <c:pt idx="3">
                  <c:v>Verificabilidad</c:v>
                </c:pt>
                <c:pt idx="4">
                  <c:v>Trazabilidad</c:v>
                </c:pt>
                <c:pt idx="5">
                  <c:v>Factibilidad</c:v>
                </c:pt>
              </c:strCache>
            </c:strRef>
          </c:cat>
          <c:val>
            <c:numRef>
              <c:f>Graficos!$C$5:$C$10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9973-4AE6-8862-AF7FE7B50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Distribución de defectos por severidad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Candidatos</c:v>
          </c:tx>
          <c:spPr>
            <a:solidFill>
              <a:srgbClr val="1F6D8C"/>
            </a:solidFill>
          </c:spPr>
          <c:invertIfNegative val="1"/>
          <c:cat>
            <c:strRef>
              <c:f>Graficos!$H$5:$H$7</c:f>
              <c:strCache>
                <c:ptCount val="3"/>
                <c:pt idx="0">
                  <c:v>Crítico</c:v>
                </c:pt>
                <c:pt idx="1">
                  <c:v>Mayor</c:v>
                </c:pt>
                <c:pt idx="2">
                  <c:v>Menor</c:v>
                </c:pt>
              </c:strCache>
            </c:strRef>
          </c:cat>
          <c:val>
            <c:numRef>
              <c:f>Graficos!$I$5:$I$7</c:f>
              <c:numCache>
                <c:formatCode>General</c:formatCode>
                <c:ptCount val="3"/>
                <c:pt idx="0">
                  <c:v>4</c:v>
                </c:pt>
                <c:pt idx="1">
                  <c:v>12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9F7-48AC-9F98-196817250A9E}"/>
            </c:ext>
          </c:extLst>
        </c:ser>
        <c:ser>
          <c:idx val="1"/>
          <c:order val="1"/>
          <c:tx>
            <c:v>Aceptados</c:v>
          </c:tx>
          <c:spPr>
            <a:solidFill>
              <a:srgbClr val="70AD47"/>
            </a:solidFill>
          </c:spPr>
          <c:invertIfNegative val="1"/>
          <c:cat>
            <c:strRef>
              <c:f>Graficos!$H$5:$H$7</c:f>
              <c:strCache>
                <c:ptCount val="3"/>
                <c:pt idx="0">
                  <c:v>Crítico</c:v>
                </c:pt>
                <c:pt idx="1">
                  <c:v>Mayor</c:v>
                </c:pt>
                <c:pt idx="2">
                  <c:v>Menor</c:v>
                </c:pt>
              </c:strCache>
            </c:strRef>
          </c:cat>
          <c:val>
            <c:numRef>
              <c:f>Graficos!$J$5:$J$7</c:f>
              <c:numCache>
                <c:formatCode>General</c:formatCode>
                <c:ptCount val="3"/>
                <c:pt idx="0">
                  <c:v>3</c:v>
                </c:pt>
                <c:pt idx="1">
                  <c:v>10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89F7-48AC-9F98-196817250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838200</xdr:colOff>
      <xdr:row>31</xdr:row>
      <xdr:rowOff>171450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EA07DABA-67ED-9C06-3015-60DD5F05060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quipo SICM" id="{55B705CD-1107-4070-90A0-0EA73367C7D9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Defectos" displayName="DatosDefectos" ref="A5:F23" totalsRowShown="0" headerRowDxfId="7" dataDxfId="0" headerRowBorderDxfId="13" tableBorderDxfId="14" totalsRowBorderDxfId="12">
  <tableColumns count="6">
    <tableColumn id="1" xr3:uid="{00000000-0010-0000-0000-000001000000}" name="ID" dataDxfId="6"/>
    <tableColumn id="2" xr3:uid="{00000000-0010-0000-0000-000002000000}" name="Tipo" dataDxfId="5"/>
    <tableColumn id="3" xr3:uid="{00000000-0010-0000-0000-000003000000}" name="Severidad" dataDxfId="4"/>
    <tableColumn id="4" xr3:uid="{00000000-0010-0000-0000-000004000000}" name="Decisión Fagan" dataDxfId="3"/>
    <tableColumn id="5" xr3:uid="{00000000-0010-0000-0000-000005000000}" name="Estado" dataDxfId="2"/>
    <tableColumn id="6" xr3:uid="{00000000-0010-0000-0000-000006000000}" name="Página(s) ER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I11" dT="2026-08-04T05:01:04.644" personId="{55B705CD-1107-4070-90A0-0EA73367C7D9}" id="{757AC14B-8637-E981-8A3B-7BA54CEFE18D}">
    <xltc:text>Ingrese el número real de páginas diferentes inspeccionadas. No sume páginas repetidas entre checklists. Máximo del ERS: 109.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15267ff08b9742cf" Type="http://schemas.microsoft.com/office/2017/10/relationships/threadedComment" Target="../threadedcomments/threadedcomment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68" workbookViewId="0">
      <selection activeCell="K31" sqref="K31"/>
    </sheetView>
  </sheetViews>
  <sheetFormatPr baseColWidth="10" defaultColWidth="9" defaultRowHeight="15"/>
  <cols>
    <col min="1" max="1" width="13" style="15" customWidth="1"/>
    <col min="2" max="2" width="21" style="15" customWidth="1"/>
    <col min="3" max="3" width="15" style="15" customWidth="1"/>
    <col min="4" max="4" width="19" style="15" customWidth="1"/>
    <col min="5" max="5" width="24" style="15" customWidth="1"/>
    <col min="6" max="6" width="18" style="15" customWidth="1"/>
    <col min="7" max="7" width="4" style="15" customWidth="1"/>
    <col min="8" max="8" width="32" style="15" customWidth="1"/>
    <col min="9" max="9" width="20" style="15" customWidth="1"/>
    <col min="10" max="16384" width="9" style="15"/>
  </cols>
  <sheetData>
    <row r="1" spans="1:9" ht="30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ht="36" customHeight="1">
      <c r="A2" s="17" t="s">
        <v>91</v>
      </c>
      <c r="B2" s="17"/>
      <c r="C2" s="17"/>
      <c r="D2" s="17"/>
      <c r="E2" s="17"/>
      <c r="F2" s="17"/>
      <c r="G2" s="17"/>
      <c r="H2" s="17"/>
      <c r="I2" s="17"/>
    </row>
    <row r="4" spans="1:9">
      <c r="H4" s="20" t="s">
        <v>1</v>
      </c>
      <c r="I4" s="20" t="s">
        <v>2</v>
      </c>
    </row>
    <row r="5" spans="1:9" ht="27.95" customHeight="1">
      <c r="A5" s="22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24" t="s">
        <v>8</v>
      </c>
      <c r="H5" s="18" t="s">
        <v>9</v>
      </c>
      <c r="I5" s="18" t="s">
        <v>10</v>
      </c>
    </row>
    <row r="6" spans="1:9" ht="27.95" customHeight="1">
      <c r="A6" s="25" t="s">
        <v>11</v>
      </c>
      <c r="B6" s="26" t="s">
        <v>12</v>
      </c>
      <c r="C6" s="26" t="s">
        <v>13</v>
      </c>
      <c r="D6" s="26" t="s">
        <v>14</v>
      </c>
      <c r="E6" s="26" t="s">
        <v>15</v>
      </c>
      <c r="F6" s="27" t="s">
        <v>16</v>
      </c>
      <c r="H6" s="18" t="s">
        <v>17</v>
      </c>
      <c r="I6" s="18" t="s">
        <v>18</v>
      </c>
    </row>
    <row r="7" spans="1:9" ht="27.95" customHeight="1">
      <c r="A7" s="25" t="s">
        <v>19</v>
      </c>
      <c r="B7" s="26" t="s">
        <v>20</v>
      </c>
      <c r="C7" s="26" t="s">
        <v>13</v>
      </c>
      <c r="D7" s="26" t="s">
        <v>14</v>
      </c>
      <c r="E7" s="26" t="s">
        <v>15</v>
      </c>
      <c r="F7" s="27" t="s">
        <v>21</v>
      </c>
      <c r="H7" s="18" t="s">
        <v>22</v>
      </c>
      <c r="I7" s="18" t="s">
        <v>18</v>
      </c>
    </row>
    <row r="8" spans="1:9" ht="27.95" customHeight="1">
      <c r="A8" s="25" t="s">
        <v>23</v>
      </c>
      <c r="B8" s="26" t="s">
        <v>24</v>
      </c>
      <c r="C8" s="26" t="s">
        <v>25</v>
      </c>
      <c r="D8" s="26" t="s">
        <v>14</v>
      </c>
      <c r="E8" s="26" t="s">
        <v>15</v>
      </c>
      <c r="F8" s="27" t="s">
        <v>26</v>
      </c>
    </row>
    <row r="9" spans="1:9" ht="27.95" customHeight="1">
      <c r="A9" s="25" t="s">
        <v>27</v>
      </c>
      <c r="B9" s="26" t="s">
        <v>28</v>
      </c>
      <c r="C9" s="26" t="s">
        <v>13</v>
      </c>
      <c r="D9" s="26" t="s">
        <v>14</v>
      </c>
      <c r="E9" s="26" t="s">
        <v>15</v>
      </c>
      <c r="F9" s="27" t="s">
        <v>29</v>
      </c>
      <c r="H9" s="21" t="s">
        <v>33</v>
      </c>
      <c r="I9" s="21" t="s">
        <v>34</v>
      </c>
    </row>
    <row r="10" spans="1:9" ht="27.95" customHeight="1">
      <c r="A10" s="25" t="s">
        <v>30</v>
      </c>
      <c r="B10" s="26" t="s">
        <v>31</v>
      </c>
      <c r="C10" s="26" t="s">
        <v>13</v>
      </c>
      <c r="D10" s="26" t="s">
        <v>14</v>
      </c>
      <c r="E10" s="26" t="s">
        <v>15</v>
      </c>
      <c r="F10" s="27" t="s">
        <v>32</v>
      </c>
      <c r="H10" s="18" t="s">
        <v>38</v>
      </c>
      <c r="I10" s="18">
        <v>83</v>
      </c>
    </row>
    <row r="11" spans="1:9" ht="27.95" customHeight="1">
      <c r="A11" s="25" t="s">
        <v>35</v>
      </c>
      <c r="B11" s="26" t="s">
        <v>36</v>
      </c>
      <c r="C11" s="26" t="s">
        <v>13</v>
      </c>
      <c r="D11" s="26" t="s">
        <v>14</v>
      </c>
      <c r="E11" s="26" t="s">
        <v>15</v>
      </c>
      <c r="F11" s="27" t="s">
        <v>37</v>
      </c>
      <c r="H11" s="18" t="s">
        <v>40</v>
      </c>
      <c r="I11" s="19">
        <v>46238</v>
      </c>
    </row>
    <row r="12" spans="1:9" ht="27.95" customHeight="1">
      <c r="A12" s="25" t="s">
        <v>39</v>
      </c>
      <c r="B12" s="26" t="s">
        <v>24</v>
      </c>
      <c r="C12" s="26" t="s">
        <v>13</v>
      </c>
      <c r="D12" s="26" t="s">
        <v>14</v>
      </c>
      <c r="E12" s="26" t="s">
        <v>15</v>
      </c>
      <c r="F12" s="27" t="s">
        <v>26</v>
      </c>
    </row>
    <row r="13" spans="1:9" ht="27.95" customHeight="1">
      <c r="A13" s="25" t="s">
        <v>41</v>
      </c>
      <c r="B13" s="26" t="s">
        <v>20</v>
      </c>
      <c r="C13" s="26" t="s">
        <v>42</v>
      </c>
      <c r="D13" s="26" t="s">
        <v>14</v>
      </c>
      <c r="E13" s="26" t="s">
        <v>15</v>
      </c>
      <c r="F13" s="27" t="s">
        <v>43</v>
      </c>
    </row>
    <row r="14" spans="1:9" ht="27.95" customHeight="1">
      <c r="A14" s="25" t="s">
        <v>44</v>
      </c>
      <c r="B14" s="26" t="s">
        <v>12</v>
      </c>
      <c r="C14" s="26" t="s">
        <v>13</v>
      </c>
      <c r="D14" s="26" t="s">
        <v>14</v>
      </c>
      <c r="E14" s="26" t="s">
        <v>15</v>
      </c>
      <c r="F14" s="27" t="s">
        <v>32</v>
      </c>
    </row>
    <row r="15" spans="1:9" ht="27.95" customHeight="1">
      <c r="A15" s="25" t="s">
        <v>45</v>
      </c>
      <c r="B15" s="26" t="s">
        <v>31</v>
      </c>
      <c r="C15" s="26" t="s">
        <v>13</v>
      </c>
      <c r="D15" s="26" t="s">
        <v>14</v>
      </c>
      <c r="E15" s="26" t="s">
        <v>15</v>
      </c>
      <c r="F15" s="27" t="s">
        <v>46</v>
      </c>
    </row>
    <row r="16" spans="1:9" ht="27.95" customHeight="1">
      <c r="A16" s="25" t="s">
        <v>47</v>
      </c>
      <c r="B16" s="26" t="s">
        <v>28</v>
      </c>
      <c r="C16" s="26" t="s">
        <v>42</v>
      </c>
      <c r="D16" s="26" t="s">
        <v>14</v>
      </c>
      <c r="E16" s="26" t="s">
        <v>48</v>
      </c>
      <c r="F16" s="27" t="s">
        <v>49</v>
      </c>
    </row>
    <row r="17" spans="1:6" ht="27.95" customHeight="1">
      <c r="A17" s="25" t="s">
        <v>50</v>
      </c>
      <c r="B17" s="26" t="s">
        <v>36</v>
      </c>
      <c r="C17" s="26" t="s">
        <v>13</v>
      </c>
      <c r="D17" s="26" t="s">
        <v>14</v>
      </c>
      <c r="E17" s="26" t="s">
        <v>48</v>
      </c>
      <c r="F17" s="27" t="s">
        <v>51</v>
      </c>
    </row>
    <row r="18" spans="1:6" ht="27.95" customHeight="1">
      <c r="A18" s="25" t="s">
        <v>52</v>
      </c>
      <c r="B18" s="26" t="s">
        <v>24</v>
      </c>
      <c r="C18" s="26" t="s">
        <v>25</v>
      </c>
      <c r="D18" s="26" t="s">
        <v>14</v>
      </c>
      <c r="E18" s="26" t="s">
        <v>15</v>
      </c>
      <c r="F18" s="27" t="s">
        <v>51</v>
      </c>
    </row>
    <row r="19" spans="1:6" ht="27.95" customHeight="1">
      <c r="A19" s="25" t="s">
        <v>53</v>
      </c>
      <c r="B19" s="26" t="s">
        <v>20</v>
      </c>
      <c r="C19" s="26" t="s">
        <v>42</v>
      </c>
      <c r="D19" s="26" t="s">
        <v>14</v>
      </c>
      <c r="E19" s="26" t="s">
        <v>48</v>
      </c>
      <c r="F19" s="27" t="s">
        <v>54</v>
      </c>
    </row>
    <row r="20" spans="1:6" ht="27.95" customHeight="1">
      <c r="A20" s="25" t="s">
        <v>55</v>
      </c>
      <c r="B20" s="26" t="s">
        <v>12</v>
      </c>
      <c r="C20" s="26" t="s">
        <v>13</v>
      </c>
      <c r="D20" s="26" t="s">
        <v>14</v>
      </c>
      <c r="E20" s="26" t="s">
        <v>15</v>
      </c>
      <c r="F20" s="27" t="s">
        <v>56</v>
      </c>
    </row>
    <row r="21" spans="1:6" ht="27.95" customHeight="1">
      <c r="A21" s="25" t="s">
        <v>57</v>
      </c>
      <c r="B21" s="26" t="s">
        <v>31</v>
      </c>
      <c r="C21" s="26" t="s">
        <v>13</v>
      </c>
      <c r="D21" s="26" t="s">
        <v>58</v>
      </c>
      <c r="E21" s="26" t="s">
        <v>59</v>
      </c>
      <c r="F21" s="27" t="s">
        <v>54</v>
      </c>
    </row>
    <row r="22" spans="1:6" ht="27.95" customHeight="1">
      <c r="A22" s="25" t="s">
        <v>60</v>
      </c>
      <c r="B22" s="26" t="s">
        <v>28</v>
      </c>
      <c r="C22" s="26" t="s">
        <v>42</v>
      </c>
      <c r="D22" s="26" t="s">
        <v>58</v>
      </c>
      <c r="E22" s="26" t="s">
        <v>59</v>
      </c>
      <c r="F22" s="27" t="s">
        <v>61</v>
      </c>
    </row>
    <row r="23" spans="1:6" ht="27.95" customHeight="1">
      <c r="A23" s="28" t="s">
        <v>62</v>
      </c>
      <c r="B23" s="29" t="s">
        <v>36</v>
      </c>
      <c r="C23" s="29" t="s">
        <v>13</v>
      </c>
      <c r="D23" s="29" t="s">
        <v>58</v>
      </c>
      <c r="E23" s="29" t="s">
        <v>59</v>
      </c>
      <c r="F23" s="30" t="s">
        <v>63</v>
      </c>
    </row>
    <row r="24" spans="1:6">
      <c r="A24" s="31"/>
      <c r="B24" s="31"/>
      <c r="C24" s="31"/>
      <c r="D24" s="31"/>
      <c r="E24" s="31"/>
      <c r="F24" s="31"/>
    </row>
  </sheetData>
  <mergeCells count="2">
    <mergeCell ref="A1:I1"/>
    <mergeCell ref="A2:I2"/>
  </mergeCells>
  <conditionalFormatting sqref="C6:C23">
    <cfRule type="containsText" dxfId="11" priority="3" operator="containsText" text="Crítico"/>
    <cfRule type="containsText" dxfId="10" priority="4" operator="containsText" text="Mayor"/>
  </conditionalFormatting>
  <conditionalFormatting sqref="D6:D23">
    <cfRule type="containsText" dxfId="9" priority="1" operator="containsText" text="Aceptado"/>
  </conditionalFormatting>
  <conditionalFormatting sqref="E6:E23">
    <cfRule type="containsText" dxfId="8" priority="2" operator="containsText" text="Corregido"/>
  </conditionalFormatting>
  <dataValidations count="4">
    <dataValidation type="list" sqref="D6:D23" xr:uid="{00000000-0002-0000-0000-000000000000}">
      <formula1>"Pendiente,Aceptado,Duplicado,Rechazado"</formula1>
    </dataValidation>
    <dataValidation type="list" sqref="E6:E23" xr:uid="{00000000-0002-0000-0000-000001000000}">
      <formula1>"Pendiente de validación,Abierto,En corrección,Corregido,No aplica"</formula1>
    </dataValidation>
    <dataValidation type="list" sqref="I5:I7" xr:uid="{00000000-0002-0000-0000-000002000000}">
      <formula1>"Pendiente,Sí,No"</formula1>
    </dataValidation>
    <dataValidation type="whole" sqref="I10" xr:uid="{00000000-0002-0000-0000-000003000000}">
      <formula1>1</formula1>
      <formula2>109</formula2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showGridLines="0" workbookViewId="0"/>
  </sheetViews>
  <sheetFormatPr baseColWidth="10" defaultColWidth="9" defaultRowHeight="14.25"/>
  <cols>
    <col min="1" max="1" width="22" customWidth="1"/>
    <col min="2" max="2" width="31" customWidth="1"/>
    <col min="3" max="3" width="49" customWidth="1"/>
    <col min="4" max="4" width="18" customWidth="1"/>
    <col min="5" max="5" width="22" customWidth="1"/>
    <col min="6" max="6" width="55" customWidth="1"/>
  </cols>
  <sheetData>
    <row r="1" spans="1:6" ht="30" customHeight="1">
      <c r="A1" s="12" t="s">
        <v>64</v>
      </c>
      <c r="B1" s="12"/>
      <c r="C1" s="12"/>
      <c r="D1" s="12"/>
      <c r="E1" s="12"/>
      <c r="F1" s="12"/>
    </row>
    <row r="2" spans="1:6" ht="26.1" customHeight="1">
      <c r="A2" s="13" t="s">
        <v>65</v>
      </c>
      <c r="B2" s="13"/>
      <c r="C2" s="13"/>
      <c r="D2" s="13"/>
      <c r="E2" s="13"/>
      <c r="F2" s="13"/>
    </row>
    <row r="4" spans="1:6" ht="33.950000000000003" customHeight="1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  <c r="F4" s="2" t="s">
        <v>71</v>
      </c>
    </row>
    <row r="5" spans="1:6" ht="63.95" customHeight="1">
      <c r="A5" s="10">
        <v>1</v>
      </c>
      <c r="B5" s="6" t="s">
        <v>72</v>
      </c>
      <c r="C5" s="3" t="s">
        <v>73</v>
      </c>
      <c r="D5" s="7">
        <f>IF(Datos!I10="","",COUNTIF(Datos!D6:D23,"Aceptado")/Datos!I10)</f>
        <v>0.18072289156626506</v>
      </c>
      <c r="E5" s="3" t="s">
        <v>74</v>
      </c>
      <c r="F5" s="3" t="str">
        <f>IF(D5="","Pendiente: ingrese páginas y valide defectos",IF(D5&lt;0.1,"Densidad baja; revisar alcance inspeccionado",IF(D5&lt;=0.3,"Densidad moderada","Densidad alta; priorizar correcciones")))</f>
        <v>Densidad moderada</v>
      </c>
    </row>
    <row r="6" spans="1:6" ht="63.95" customHeight="1">
      <c r="A6" s="10">
        <v>2</v>
      </c>
      <c r="B6" s="6" t="s">
        <v>75</v>
      </c>
      <c r="C6" s="3" t="s">
        <v>76</v>
      </c>
      <c r="D6" s="8" t="str">
        <f>IF(COUNTIF(Datos!I5:I7,"Pendiente")&gt;0,"",COUNTIF(Datos!I5:I7,"Sí")/COUNTA(Datos!H5:H7))</f>
        <v/>
      </c>
      <c r="E6" s="3" t="s">
        <v>77</v>
      </c>
      <c r="F6" s="3" t="str">
        <f>IF(D6="","Pendiente: confirme los tres checklists",IF(D6=1,"Todos los integrantes realizaron preparación individual","Falta preparación individual de uno o más integrantes"))</f>
        <v>Pendiente: confirme los tres checklists</v>
      </c>
    </row>
    <row r="7" spans="1:6" ht="63.95" customHeight="1">
      <c r="A7" s="10">
        <v>3</v>
      </c>
      <c r="B7" s="6" t="s">
        <v>78</v>
      </c>
      <c r="C7" s="3" t="s">
        <v>79</v>
      </c>
      <c r="D7" s="8">
        <f>IF((COUNTIFS(Datos!D6:D23,"Aceptado",Datos!C6:C23,"Crítico")+COUNTIFS(Datos!D6:D23,"Aceptado",Datos!C6:C23,"Mayor"))=0,"",(COUNTIFS(Datos!D6:D23,"Aceptado",Datos!C6:C23,"Crítico",Datos!E6:E23,"Corregido")+COUNTIFS(Datos!D6:D23,"Aceptado",Datos!C6:C23,"Mayor",Datos!E6:E23,"Corregido"))/(COUNTIFS(Datos!D6:D23,"Aceptado",Datos!C6:C23,"Crítico")+COUNTIFS(Datos!D6:D23,"Aceptado",Datos!C6:C23,"Mayor")))</f>
        <v>0.76923076923076927</v>
      </c>
      <c r="E7" s="3" t="s">
        <v>77</v>
      </c>
      <c r="F7" s="3" t="str">
        <f>IF(D7="","Pendiente: valide defectos críticos/mayores",IF(D7=1,"Se corrigió el 100 % de críticos y mayores aceptados","Aún existen críticos o mayores sin corregir"))</f>
        <v>Aún existen críticos o mayores sin corregir</v>
      </c>
    </row>
    <row r="8" spans="1:6" ht="63.95" customHeight="1">
      <c r="A8" s="10">
        <v>4</v>
      </c>
      <c r="B8" s="6" t="s">
        <v>80</v>
      </c>
      <c r="C8" s="3" t="s">
        <v>81</v>
      </c>
      <c r="D8" s="9" t="str">
        <f>IF(COUNTIF(Datos!D6:D23,"Aceptado")=0,"Pendiente","Tabla 1")</f>
        <v>Tabla 1</v>
      </c>
      <c r="E8" s="3" t="s">
        <v>82</v>
      </c>
      <c r="F8" s="3" t="str">
        <f>IF(D8="Pendiente","Pendiente: aún no hay defectos aceptados","La tabla y el gráfico muestran los tipos predominantes")</f>
        <v>La tabla y el gráfico muestran los tipos predominantes</v>
      </c>
    </row>
    <row r="9" spans="1:6" ht="63.95" customHeight="1">
      <c r="A9" s="10">
        <v>5</v>
      </c>
      <c r="B9" s="6" t="s">
        <v>83</v>
      </c>
      <c r="C9" s="3" t="s">
        <v>84</v>
      </c>
      <c r="D9" s="9" t="str">
        <f>IF(COUNTIF(Datos!D6:D23,"Aceptado")=0,"Pendiente","Tabla 2")</f>
        <v>Tabla 2</v>
      </c>
      <c r="E9" s="3" t="s">
        <v>85</v>
      </c>
      <c r="F9" s="3" t="str">
        <f>IF(D9="Pendiente","Pendiente: aún no hay defectos aceptados","La tabla y el gráfico muestran la severidad predominante")</f>
        <v>La tabla y el gráfico muestran la severidad predominante</v>
      </c>
    </row>
    <row r="12" spans="1:6" ht="27" customHeight="1">
      <c r="A12" s="2" t="s">
        <v>4</v>
      </c>
      <c r="B12" s="2" t="s">
        <v>86</v>
      </c>
      <c r="C12" s="2" t="s">
        <v>87</v>
      </c>
      <c r="D12" s="2" t="s">
        <v>88</v>
      </c>
    </row>
    <row r="13" spans="1:6" ht="27" customHeight="1">
      <c r="A13" s="4" t="s">
        <v>24</v>
      </c>
      <c r="B13" s="4">
        <f>COUNTIFS(Datos!B6:B23,A13,Datos!D6:D23,"Aceptado")</f>
        <v>3</v>
      </c>
      <c r="C13" s="5">
        <f>IF(COUNTIF(Datos!D6:D23,"Aceptado")=0,"",B13/COUNTIF(Datos!D6:D23,"Aceptado"))</f>
        <v>0.2</v>
      </c>
      <c r="D13" s="4">
        <f>COUNTIF(Datos!B6:B23,A13)</f>
        <v>3</v>
      </c>
    </row>
    <row r="14" spans="1:6" ht="27" customHeight="1">
      <c r="A14" s="4" t="s">
        <v>20</v>
      </c>
      <c r="B14" s="4">
        <f>COUNTIFS(Datos!B6:B23,A14,Datos!D6:D23,"Aceptado")</f>
        <v>3</v>
      </c>
      <c r="C14" s="5">
        <f>IF(COUNTIF(Datos!D6:D23,"Aceptado")=0,"",B14/COUNTIF(Datos!D6:D23,"Aceptado"))</f>
        <v>0.2</v>
      </c>
      <c r="D14" s="4">
        <f>COUNTIF(Datos!B6:B23,A14)</f>
        <v>3</v>
      </c>
    </row>
    <row r="15" spans="1:6" ht="27" customHeight="1">
      <c r="A15" s="4" t="s">
        <v>12</v>
      </c>
      <c r="B15" s="4">
        <f>COUNTIFS(Datos!B6:B23,A15,Datos!D6:D23,"Aceptado")</f>
        <v>3</v>
      </c>
      <c r="C15" s="5">
        <f>IF(COUNTIF(Datos!D6:D23,"Aceptado")=0,"",B15/COUNTIF(Datos!D6:D23,"Aceptado"))</f>
        <v>0.2</v>
      </c>
      <c r="D15" s="4">
        <f>COUNTIF(Datos!B6:B23,A15)</f>
        <v>3</v>
      </c>
    </row>
    <row r="16" spans="1:6" ht="27" customHeight="1">
      <c r="A16" s="4" t="s">
        <v>31</v>
      </c>
      <c r="B16" s="4">
        <f>COUNTIFS(Datos!B6:B23,A16,Datos!D6:D23,"Aceptado")</f>
        <v>2</v>
      </c>
      <c r="C16" s="5">
        <f>IF(COUNTIF(Datos!D6:D23,"Aceptado")=0,"",B16/COUNTIF(Datos!D6:D23,"Aceptado"))</f>
        <v>0.13333333333333333</v>
      </c>
      <c r="D16" s="4">
        <f>COUNTIF(Datos!B6:B23,A16)</f>
        <v>3</v>
      </c>
    </row>
    <row r="17" spans="1:4" ht="27" customHeight="1">
      <c r="A17" s="4" t="s">
        <v>28</v>
      </c>
      <c r="B17" s="4">
        <f>COUNTIFS(Datos!B6:B23,A17,Datos!D6:D23,"Aceptado")</f>
        <v>2</v>
      </c>
      <c r="C17" s="5">
        <f>IF(COUNTIF(Datos!D6:D23,"Aceptado")=0,"",B17/COUNTIF(Datos!D6:D23,"Aceptado"))</f>
        <v>0.13333333333333333</v>
      </c>
      <c r="D17" s="4">
        <f>COUNTIF(Datos!B6:B23,A17)</f>
        <v>3</v>
      </c>
    </row>
    <row r="18" spans="1:4" ht="27" customHeight="1">
      <c r="A18" s="4" t="s">
        <v>36</v>
      </c>
      <c r="B18" s="4">
        <f>COUNTIFS(Datos!B6:B23,A18,Datos!D6:D23,"Aceptado")</f>
        <v>2</v>
      </c>
      <c r="C18" s="5">
        <f>IF(COUNTIF(Datos!D6:D23,"Aceptado")=0,"",B18/COUNTIF(Datos!D6:D23,"Aceptado"))</f>
        <v>0.13333333333333333</v>
      </c>
      <c r="D18" s="4">
        <f>COUNTIF(Datos!B6:B23,A18)</f>
        <v>3</v>
      </c>
    </row>
    <row r="19" spans="1:4" ht="27" customHeight="1"/>
    <row r="20" spans="1:4" ht="27" customHeight="1"/>
    <row r="21" spans="1:4" ht="27" customHeight="1">
      <c r="A21" s="2" t="s">
        <v>5</v>
      </c>
      <c r="B21" s="2" t="s">
        <v>86</v>
      </c>
      <c r="C21" s="2" t="s">
        <v>87</v>
      </c>
      <c r="D21" s="2" t="s">
        <v>88</v>
      </c>
    </row>
    <row r="22" spans="1:4" ht="27" customHeight="1">
      <c r="A22" s="4" t="s">
        <v>42</v>
      </c>
      <c r="B22" s="4">
        <f>COUNTIFS(Datos!C6:C23,A22,Datos!D6:D23,"Aceptado")</f>
        <v>3</v>
      </c>
      <c r="C22" s="5">
        <f>IF(COUNTIF(Datos!D6:D23,"Aceptado")=0,"",B22/COUNTIF(Datos!D6:D23,"Aceptado"))</f>
        <v>0.2</v>
      </c>
      <c r="D22" s="4">
        <f>COUNTIF(Datos!C6:C23,A22)</f>
        <v>4</v>
      </c>
    </row>
    <row r="23" spans="1:4" ht="27" customHeight="1">
      <c r="A23" s="4" t="s">
        <v>13</v>
      </c>
      <c r="B23" s="4">
        <f>COUNTIFS(Datos!C6:C23,A23,Datos!D6:D23,"Aceptado")</f>
        <v>10</v>
      </c>
      <c r="C23" s="5">
        <f>IF(COUNTIF(Datos!D6:D23,"Aceptado")=0,"",B23/COUNTIF(Datos!D6:D23,"Aceptado"))</f>
        <v>0.66666666666666663</v>
      </c>
      <c r="D23" s="4">
        <f>COUNTIF(Datos!C6:C23,A23)</f>
        <v>12</v>
      </c>
    </row>
    <row r="24" spans="1:4" ht="27" customHeight="1">
      <c r="A24" s="4" t="s">
        <v>25</v>
      </c>
      <c r="B24" s="4">
        <f>COUNTIFS(Datos!C6:C23,A24,Datos!D6:D23,"Aceptado")</f>
        <v>2</v>
      </c>
      <c r="C24" s="5">
        <f>IF(COUNTIF(Datos!D6:D23,"Aceptado")=0,"",B24/COUNTIF(Datos!D6:D23,"Aceptado"))</f>
        <v>0.13333333333333333</v>
      </c>
      <c r="D24" s="4">
        <f>COUNTIF(Datos!C6:C23,A24)</f>
        <v>2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showGridLines="0" workbookViewId="0"/>
  </sheetViews>
  <sheetFormatPr baseColWidth="10" defaultColWidth="9" defaultRowHeight="14.25"/>
  <cols>
    <col min="1" max="3" width="18" customWidth="1"/>
    <col min="8" max="10" width="18" customWidth="1"/>
  </cols>
  <sheetData>
    <row r="1" spans="1:14" ht="30" customHeight="1">
      <c r="A1" s="12" t="s">
        <v>89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4.95" customHeight="1">
      <c r="A2" s="14" t="s">
        <v>90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ht="15">
      <c r="A4" s="11" t="s">
        <v>4</v>
      </c>
      <c r="B4" s="11" t="s">
        <v>88</v>
      </c>
      <c r="C4" s="11" t="s">
        <v>86</v>
      </c>
      <c r="H4" s="11" t="s">
        <v>5</v>
      </c>
      <c r="I4" s="11" t="s">
        <v>88</v>
      </c>
      <c r="J4" s="11" t="s">
        <v>86</v>
      </c>
    </row>
    <row r="5" spans="1:14">
      <c r="A5" s="1" t="str">
        <f>Metricas!A13</f>
        <v>Ambigüedad</v>
      </c>
      <c r="B5" s="1">
        <f>Metricas!D13</f>
        <v>3</v>
      </c>
      <c r="C5" s="1">
        <f>Metricas!B13</f>
        <v>3</v>
      </c>
      <c r="H5" s="1" t="str">
        <f>Metricas!A22</f>
        <v>Crítico</v>
      </c>
      <c r="I5" s="1">
        <f>Metricas!D22</f>
        <v>4</v>
      </c>
      <c r="J5" s="1">
        <f>Metricas!B22</f>
        <v>3</v>
      </c>
    </row>
    <row r="6" spans="1:14">
      <c r="A6" s="1" t="str">
        <f>Metricas!A14</f>
        <v>Completitud</v>
      </c>
      <c r="B6" s="1">
        <f>Metricas!D14</f>
        <v>3</v>
      </c>
      <c r="C6" s="1">
        <f>Metricas!B14</f>
        <v>3</v>
      </c>
      <c r="H6" s="1" t="str">
        <f>Metricas!A23</f>
        <v>Mayor</v>
      </c>
      <c r="I6" s="1">
        <f>Metricas!D23</f>
        <v>12</v>
      </c>
      <c r="J6" s="1">
        <f>Metricas!B23</f>
        <v>10</v>
      </c>
    </row>
    <row r="7" spans="1:14">
      <c r="A7" s="1" t="str">
        <f>Metricas!A15</f>
        <v>Consistencia</v>
      </c>
      <c r="B7" s="1">
        <f>Metricas!D15</f>
        <v>3</v>
      </c>
      <c r="C7" s="1">
        <f>Metricas!B15</f>
        <v>3</v>
      </c>
      <c r="H7" s="1" t="str">
        <f>Metricas!A24</f>
        <v>Menor</v>
      </c>
      <c r="I7" s="1">
        <f>Metricas!D24</f>
        <v>2</v>
      </c>
      <c r="J7" s="1">
        <f>Metricas!B24</f>
        <v>2</v>
      </c>
    </row>
    <row r="8" spans="1:14">
      <c r="A8" s="1" t="str">
        <f>Metricas!A16</f>
        <v>Verificabilidad</v>
      </c>
      <c r="B8" s="1">
        <f>Metricas!D16</f>
        <v>3</v>
      </c>
      <c r="C8" s="1">
        <f>Metricas!B16</f>
        <v>2</v>
      </c>
    </row>
    <row r="9" spans="1:14">
      <c r="A9" s="1" t="str">
        <f>Metricas!A17</f>
        <v>Trazabilidad</v>
      </c>
      <c r="B9" s="1">
        <f>Metricas!D17</f>
        <v>3</v>
      </c>
      <c r="C9" s="1">
        <f>Metricas!B17</f>
        <v>2</v>
      </c>
    </row>
    <row r="10" spans="1:14">
      <c r="A10" s="1" t="str">
        <f>Metricas!A18</f>
        <v>Factibilidad</v>
      </c>
      <c r="B10" s="1">
        <f>Metricas!D18</f>
        <v>3</v>
      </c>
      <c r="C10" s="1">
        <f>Metricas!B18</f>
        <v>2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Metricas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TIGASI SAMPEDRO  PAUL ALEXANDER</cp:lastModifiedBy>
  <dcterms:created xsi:type="dcterms:W3CDTF">2026-08-05T06:25:14Z</dcterms:created>
  <dcterms:modified xsi:type="dcterms:W3CDTF">2026-08-05T06:25:14Z</dcterms:modified>
</cp:coreProperties>
</file>